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wa25\source\repos\VPD PO download generator\VPD PO download generator\"/>
    </mc:Choice>
  </mc:AlternateContent>
  <xr:revisionPtr revIDLastSave="0" documentId="13_ncr:1_{C6AFC98A-44CD-481B-8099-64F0EE14F9C1}" xr6:coauthVersionLast="47" xr6:coauthVersionMax="47" xr10:uidLastSave="{00000000-0000-0000-0000-000000000000}"/>
  <bookViews>
    <workbookView xWindow="-28920" yWindow="-120" windowWidth="29040" windowHeight="15720" activeTab="3" xr2:uid="{D51960FC-1269-4ACE-8C84-C0CBF6215B21}"/>
  </bookViews>
  <sheets>
    <sheet name="Sheet1" sheetId="1" r:id="rId1"/>
    <sheet name="1st attempt optimization" sheetId="2" r:id="rId2"/>
    <sheet name="1st attempt optimization, part2" sheetId="3" r:id="rId3"/>
    <sheet name="Sheet2" sheetId="4" r:id="rId4"/>
    <sheet name="orderLists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Q48" i="3" l="1"/>
  <c r="AR47" i="3"/>
  <c r="AR48" i="3" s="1"/>
  <c r="AQ44" i="3"/>
  <c r="AR43" i="3"/>
  <c r="AR44" i="3" s="1"/>
  <c r="AQ39" i="3"/>
  <c r="AR38" i="3"/>
  <c r="AR39" i="3" s="1"/>
  <c r="AQ34" i="3"/>
  <c r="AQ33" i="3"/>
  <c r="AQ32" i="3"/>
  <c r="AQ31" i="3"/>
  <c r="AR30" i="3"/>
  <c r="AR31" i="3" s="1"/>
  <c r="AR32" i="3" s="1"/>
  <c r="AR33" i="3" s="1"/>
  <c r="AR34" i="3" s="1"/>
  <c r="AQ26" i="3"/>
  <c r="AR25" i="3"/>
  <c r="AR26" i="3" s="1"/>
  <c r="AQ22" i="3"/>
  <c r="AR21" i="3"/>
  <c r="AR22" i="3" s="1"/>
  <c r="AQ18" i="3"/>
  <c r="AR17" i="3"/>
  <c r="AR18" i="3" s="1"/>
  <c r="AQ13" i="3"/>
  <c r="AR12" i="3"/>
  <c r="AR13" i="3" s="1"/>
  <c r="AR6" i="3"/>
  <c r="AR7" i="3" s="1"/>
  <c r="AR8" i="3" s="1"/>
  <c r="AQ8" i="3"/>
  <c r="AQ7" i="3"/>
  <c r="N87" i="3"/>
  <c r="N86" i="3"/>
  <c r="N85" i="3"/>
  <c r="N84" i="3"/>
  <c r="N82" i="3"/>
  <c r="N81" i="3"/>
  <c r="N80" i="3"/>
  <c r="N79" i="3"/>
  <c r="N77" i="3"/>
  <c r="N76" i="3"/>
  <c r="N75" i="3"/>
  <c r="N74" i="3"/>
  <c r="N72" i="3"/>
  <c r="N71" i="3"/>
  <c r="N70" i="3"/>
  <c r="N69" i="3"/>
  <c r="N67" i="3"/>
  <c r="N66" i="3"/>
  <c r="N65" i="3"/>
  <c r="N64" i="3"/>
  <c r="N62" i="3"/>
  <c r="N61" i="3"/>
  <c r="N60" i="3"/>
  <c r="N59" i="3"/>
  <c r="N57" i="3"/>
  <c r="N56" i="3"/>
  <c r="N55" i="3"/>
  <c r="N54" i="3"/>
  <c r="N52" i="3"/>
  <c r="N51" i="3"/>
  <c r="N50" i="3"/>
  <c r="N49" i="3"/>
  <c r="N47" i="3"/>
  <c r="N46" i="3"/>
  <c r="N45" i="3"/>
  <c r="N44" i="3"/>
  <c r="N42" i="3"/>
  <c r="N41" i="3"/>
  <c r="N40" i="3"/>
  <c r="N39" i="3"/>
  <c r="N37" i="3"/>
  <c r="N36" i="3"/>
  <c r="H36" i="3"/>
  <c r="G36" i="3"/>
  <c r="N35" i="3"/>
  <c r="H35" i="3"/>
  <c r="G35" i="3"/>
  <c r="N34" i="3"/>
  <c r="H34" i="3"/>
  <c r="G34" i="3"/>
  <c r="H33" i="3"/>
  <c r="G33" i="3"/>
  <c r="N32" i="3"/>
  <c r="H32" i="3"/>
  <c r="G32" i="3"/>
  <c r="N31" i="3"/>
  <c r="H31" i="3"/>
  <c r="G31" i="3"/>
  <c r="N30" i="3"/>
  <c r="H30" i="3"/>
  <c r="G30" i="3"/>
  <c r="W34" i="3"/>
  <c r="S34" i="3"/>
  <c r="N29" i="3"/>
  <c r="H29" i="3"/>
  <c r="G29" i="3"/>
  <c r="H28" i="3"/>
  <c r="G28" i="3"/>
  <c r="N27" i="3"/>
  <c r="H27" i="3"/>
  <c r="G27" i="3"/>
  <c r="N26" i="3"/>
  <c r="W28" i="3"/>
  <c r="S28" i="3"/>
  <c r="N25" i="3"/>
  <c r="H25" i="3"/>
  <c r="G25" i="3"/>
  <c r="W62" i="3"/>
  <c r="S62" i="3"/>
  <c r="N24" i="3"/>
  <c r="H24" i="3"/>
  <c r="G24" i="3"/>
  <c r="W61" i="3"/>
  <c r="S61" i="3"/>
  <c r="H23" i="3"/>
  <c r="G23" i="3"/>
  <c r="N22" i="3"/>
  <c r="H22" i="3"/>
  <c r="G22" i="3"/>
  <c r="N21" i="3"/>
  <c r="H21" i="3"/>
  <c r="G21" i="3"/>
  <c r="AA20" i="3"/>
  <c r="W22" i="3"/>
  <c r="S22" i="3"/>
  <c r="N20" i="3"/>
  <c r="H20" i="3"/>
  <c r="G20" i="3"/>
  <c r="N19" i="3"/>
  <c r="H19" i="3"/>
  <c r="G19" i="3"/>
  <c r="W55" i="3"/>
  <c r="S55" i="3"/>
  <c r="H18" i="3"/>
  <c r="G18" i="3"/>
  <c r="W54" i="3"/>
  <c r="S54" i="3"/>
  <c r="N17" i="3"/>
  <c r="H17" i="3"/>
  <c r="G17" i="3"/>
  <c r="N16" i="3"/>
  <c r="H16" i="3"/>
  <c r="G16" i="3"/>
  <c r="AA15" i="3"/>
  <c r="W16" i="3"/>
  <c r="S16" i="3"/>
  <c r="N15" i="3"/>
  <c r="H15" i="3"/>
  <c r="G15" i="3"/>
  <c r="N14" i="3"/>
  <c r="H14" i="3"/>
  <c r="G14" i="3"/>
  <c r="H13" i="3"/>
  <c r="G13" i="3"/>
  <c r="W48" i="3"/>
  <c r="S48" i="3"/>
  <c r="N12" i="3"/>
  <c r="H12" i="3"/>
  <c r="G12" i="3"/>
  <c r="W47" i="3"/>
  <c r="S47" i="3"/>
  <c r="AA11" i="3"/>
  <c r="W10" i="3"/>
  <c r="S10" i="3"/>
  <c r="N11" i="3"/>
  <c r="H11" i="3"/>
  <c r="G11" i="3"/>
  <c r="N10" i="3"/>
  <c r="H10" i="3"/>
  <c r="G10" i="3"/>
  <c r="N9" i="3"/>
  <c r="H9" i="3"/>
  <c r="G9" i="3"/>
  <c r="H8" i="3"/>
  <c r="G8" i="3"/>
  <c r="W41" i="3"/>
  <c r="S41" i="3"/>
  <c r="N7" i="3"/>
  <c r="H7" i="3"/>
  <c r="G7" i="3"/>
  <c r="W40" i="3"/>
  <c r="S40" i="3"/>
  <c r="AA6" i="3"/>
  <c r="W4" i="3"/>
  <c r="S4" i="3"/>
  <c r="N6" i="3"/>
  <c r="H6" i="3"/>
  <c r="G6" i="3"/>
  <c r="N5" i="3"/>
  <c r="H5" i="3"/>
  <c r="G5" i="3"/>
  <c r="N4" i="3"/>
  <c r="H4" i="3"/>
  <c r="G4" i="3"/>
  <c r="H3" i="3"/>
  <c r="G3" i="3"/>
  <c r="AE29" i="2"/>
  <c r="AA29" i="2"/>
  <c r="AE25" i="2"/>
  <c r="AA25" i="2"/>
  <c r="AM24" i="2"/>
  <c r="AM18" i="2"/>
  <c r="AM12" i="2"/>
  <c r="AM7" i="2"/>
  <c r="AI24" i="2"/>
  <c r="AI18" i="2"/>
  <c r="AI12" i="2"/>
  <c r="AI7" i="2"/>
  <c r="AM23" i="2"/>
  <c r="AM17" i="2"/>
  <c r="AI23" i="2"/>
  <c r="AI17" i="2"/>
  <c r="AM11" i="2"/>
  <c r="AM6" i="2"/>
  <c r="AI11" i="2"/>
  <c r="AI6" i="2"/>
  <c r="AA20" i="2"/>
  <c r="AA15" i="2"/>
  <c r="AA11" i="2"/>
  <c r="AA6" i="2"/>
  <c r="W20" i="2"/>
  <c r="S20" i="2"/>
  <c r="W15" i="2"/>
  <c r="S15" i="2"/>
  <c r="W11" i="2"/>
  <c r="S11" i="2"/>
  <c r="W6" i="2"/>
  <c r="S6" i="2"/>
  <c r="N4" i="2"/>
  <c r="N87" i="2"/>
  <c r="N85" i="2"/>
  <c r="N86" i="2"/>
  <c r="N84" i="2"/>
  <c r="N82" i="2"/>
  <c r="N80" i="2"/>
  <c r="N81" i="2"/>
  <c r="N79" i="2"/>
  <c r="H35" i="2"/>
  <c r="H3" i="2"/>
  <c r="N77" i="2"/>
  <c r="N76" i="2"/>
  <c r="N75" i="2"/>
  <c r="N74" i="2"/>
  <c r="N72" i="2"/>
  <c r="N71" i="2"/>
  <c r="N70" i="2"/>
  <c r="N69" i="2"/>
  <c r="N67" i="2"/>
  <c r="N66" i="2"/>
  <c r="N65" i="2"/>
  <c r="N64" i="2"/>
  <c r="N62" i="2"/>
  <c r="N61" i="2"/>
  <c r="N60" i="2"/>
  <c r="N59" i="2"/>
  <c r="N57" i="2"/>
  <c r="N56" i="2"/>
  <c r="N55" i="2"/>
  <c r="N54" i="2"/>
  <c r="N52" i="2"/>
  <c r="N51" i="2"/>
  <c r="N50" i="2"/>
  <c r="N49" i="2"/>
  <c r="N47" i="2"/>
  <c r="N46" i="2"/>
  <c r="N45" i="2"/>
  <c r="N44" i="2"/>
  <c r="N42" i="2"/>
  <c r="N40" i="2"/>
  <c r="N41" i="2"/>
  <c r="N39" i="2"/>
  <c r="N37" i="2"/>
  <c r="N36" i="2"/>
  <c r="N35" i="2"/>
  <c r="N34" i="2"/>
  <c r="N32" i="2"/>
  <c r="N31" i="2"/>
  <c r="N30" i="2"/>
  <c r="N29" i="2"/>
  <c r="N27" i="2"/>
  <c r="N26" i="2"/>
  <c r="N25" i="2"/>
  <c r="N24" i="2"/>
  <c r="N22" i="2"/>
  <c r="N20" i="2"/>
  <c r="N21" i="2"/>
  <c r="N19" i="2"/>
  <c r="N17" i="2"/>
  <c r="N15" i="2"/>
  <c r="N16" i="2"/>
  <c r="N14" i="2"/>
  <c r="N12" i="2"/>
  <c r="N10" i="2"/>
  <c r="N11" i="2"/>
  <c r="N9" i="2"/>
  <c r="G4" i="2"/>
  <c r="N7" i="2"/>
  <c r="N5" i="2"/>
  <c r="N6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G36" i="2"/>
  <c r="H36" i="2"/>
  <c r="H28" i="2"/>
  <c r="G28" i="2"/>
  <c r="H27" i="2"/>
  <c r="G27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H5" i="2"/>
  <c r="G5" i="2"/>
  <c r="H4" i="2"/>
  <c r="G3" i="2"/>
</calcChain>
</file>

<file path=xl/sharedStrings.xml><?xml version="1.0" encoding="utf-8"?>
<sst xmlns="http://schemas.openxmlformats.org/spreadsheetml/2006/main" count="1242" uniqueCount="133">
  <si>
    <t>KSO5088990 PVPDFJB    TWHWHNA01AA001CR-SO-5088990-1-1                                            L07975</t>
  </si>
  <si>
    <t>K</t>
  </si>
  <si>
    <t xml:space="preserve">SO5088990 </t>
  </si>
  <si>
    <t>P</t>
  </si>
  <si>
    <t xml:space="preserve">VPDFJB    </t>
  </si>
  <si>
    <t>T</t>
  </si>
  <si>
    <t>N</t>
  </si>
  <si>
    <t>A</t>
  </si>
  <si>
    <t>C</t>
  </si>
  <si>
    <t>L</t>
  </si>
  <si>
    <t>WHWH</t>
  </si>
  <si>
    <t>A01A</t>
  </si>
  <si>
    <t xml:space="preserve">R-SO-5088990-1-1                                            </t>
  </si>
  <si>
    <t>SO5081118</t>
  </si>
  <si>
    <t>VPDFJB</t>
  </si>
  <si>
    <t>VPDFHS</t>
  </si>
  <si>
    <t xml:space="preserve">R-SO-5081118-13.00                </t>
  </si>
  <si>
    <t>BKWH</t>
  </si>
  <si>
    <t>Transom frame</t>
  </si>
  <si>
    <t>Transom panel</t>
  </si>
  <si>
    <t>VPDPSH1</t>
  </si>
  <si>
    <t>Order #</t>
  </si>
  <si>
    <t>Line #</t>
  </si>
  <si>
    <t>Frame dims</t>
  </si>
  <si>
    <t>60 x 68</t>
  </si>
  <si>
    <t>Color</t>
  </si>
  <si>
    <t>BK</t>
  </si>
  <si>
    <t>60 x 80</t>
  </si>
  <si>
    <t>BZ</t>
  </si>
  <si>
    <t>CL</t>
  </si>
  <si>
    <t>PW+.25</t>
  </si>
  <si>
    <t>PH+.25</t>
  </si>
  <si>
    <t>Order</t>
  </si>
  <si>
    <t>Component</t>
  </si>
  <si>
    <t>Length</t>
  </si>
  <si>
    <t>Position</t>
  </si>
  <si>
    <t>5114589-1.001-1</t>
  </si>
  <si>
    <t>5106483-1-1</t>
  </si>
  <si>
    <t>5109096-1-1</t>
  </si>
  <si>
    <t>5091872-1-1</t>
  </si>
  <si>
    <t>5091872-1-2</t>
  </si>
  <si>
    <t>Active Horizontal</t>
  </si>
  <si>
    <t xml:space="preserve">SKIP </t>
  </si>
  <si>
    <t>WH</t>
  </si>
  <si>
    <t>Active Vertical</t>
  </si>
  <si>
    <t>Inactive Horizontal</t>
  </si>
  <si>
    <t>Inactive Vertical</t>
  </si>
  <si>
    <t>5091872-1-3</t>
  </si>
  <si>
    <t>5091872-1-4</t>
  </si>
  <si>
    <t>5041841-4-1</t>
  </si>
  <si>
    <t>5041841-4-2</t>
  </si>
  <si>
    <t>5041841-4-3</t>
  </si>
  <si>
    <t>5041841-4-4</t>
  </si>
  <si>
    <t>5041841-5-1</t>
  </si>
  <si>
    <t>5041841-5-2</t>
  </si>
  <si>
    <t>5041841-5-3</t>
  </si>
  <si>
    <t>5041841-5-4</t>
  </si>
  <si>
    <t>5115207-1-1</t>
  </si>
  <si>
    <t>5113568-1-1</t>
  </si>
  <si>
    <t>VPDPAH2</t>
  </si>
  <si>
    <t>VPD Active Panel, Horizontal pieces, 2</t>
  </si>
  <si>
    <t>VPDPSH2</t>
  </si>
  <si>
    <t>VPD Stationary Panel, Horizontal pieces, 2</t>
  </si>
  <si>
    <t>VPDPAV2</t>
  </si>
  <si>
    <t>VPD Active Panel, Vertical pieces, 2</t>
  </si>
  <si>
    <t>VPDPSV2</t>
  </si>
  <si>
    <t>VPD Stationary Panel, Vertical pieces, 2</t>
  </si>
  <si>
    <t>VPD Active Panel, Horizontal pieces, 1</t>
  </si>
  <si>
    <t>VPD Stationary Panel, Horizontal pieces, 1</t>
  </si>
  <si>
    <t>VPD Active Panel, Vertical pieces, 1</t>
  </si>
  <si>
    <t>VPD Stationary Panel, Vertical pieces, 1</t>
  </si>
  <si>
    <t>VPDPAH1</t>
  </si>
  <si>
    <t>VPDPAV1</t>
  </si>
  <si>
    <t>VPDPSV1</t>
  </si>
  <si>
    <t>VPDPBH2</t>
  </si>
  <si>
    <t>VPD 1 Active &amp; 1 Stationary Panel, Horizontal pieces, 2</t>
  </si>
  <si>
    <t>VPDPBV2</t>
  </si>
  <si>
    <t>VPD 1 Active &amp; 1 Stationary Panel, Vertical pieces, 2</t>
  </si>
  <si>
    <t>Highest Used Position:</t>
  </si>
  <si>
    <t>ProfileID</t>
  </si>
  <si>
    <t>Order1</t>
  </si>
  <si>
    <t>Position1</t>
  </si>
  <si>
    <t>Order2</t>
  </si>
  <si>
    <t>Position2</t>
  </si>
  <si>
    <t>Cut Length</t>
  </si>
  <si>
    <t>Remaining Length (After Cut)</t>
  </si>
  <si>
    <t>Panel stock</t>
  </si>
  <si>
    <t>Initial Trim</t>
  </si>
  <si>
    <t>Min usable length</t>
  </si>
  <si>
    <t>Mid trim</t>
  </si>
  <si>
    <t>What I should see</t>
  </si>
  <si>
    <t>Full Scannable Order Number</t>
  </si>
  <si>
    <t>Type</t>
  </si>
  <si>
    <t>Frame Width</t>
  </si>
  <si>
    <t>Frame Height</t>
  </si>
  <si>
    <t>Customer</t>
  </si>
  <si>
    <t>Schedule Date</t>
  </si>
  <si>
    <t>Destination</t>
  </si>
  <si>
    <t>R-SO-5106483-1-1</t>
  </si>
  <si>
    <t>VPD</t>
  </si>
  <si>
    <t>Bronze/White</t>
  </si>
  <si>
    <t>Rebs</t>
  </si>
  <si>
    <t>Cville</t>
  </si>
  <si>
    <t>R-SO-5106483-1-2</t>
  </si>
  <si>
    <t>Pandas df</t>
  </si>
  <si>
    <t>unsortedOrders</t>
  </si>
  <si>
    <t>list(OrderInfo)</t>
  </si>
  <si>
    <t>@dataclass</t>
  </si>
  <si>
    <t>class OrderInfo:</t>
  </si>
  <si>
    <t xml:space="preserve">    fullOrderNum: str</t>
  </si>
  <si>
    <t xml:space="preserve">    component: str</t>
  </si>
  <si>
    <t xml:space="preserve">    length: float</t>
  </si>
  <si>
    <t xml:space="preserve">    position: int</t>
  </si>
  <si>
    <t xml:space="preserve">    color: str</t>
  </si>
  <si>
    <t>class OrderSet:</t>
  </si>
  <si>
    <t xml:space="preserve">    order1: OrderInfo</t>
  </si>
  <si>
    <t xml:space="preserve">    order2: OrderInfo</t>
  </si>
  <si>
    <t>class OrderList:</t>
  </si>
  <si>
    <t xml:space="preserve">    profileID: str</t>
  </si>
  <si>
    <t xml:space="preserve">    orders: list[OrderSet] = field(default_factory=list)</t>
  </si>
  <si>
    <t xml:space="preserve">    highestUsedPosition: int = 0</t>
  </si>
  <si>
    <t>orderLists</t>
  </si>
  <si>
    <t>list(OrderList)</t>
  </si>
  <si>
    <t xml:space="preserve">    orders: list[OrderSet] </t>
  </si>
  <si>
    <t>]</t>
  </si>
  <si>
    <t>[   order1, order2</t>
  </si>
  <si>
    <t>order1, order2 (OrderInfo)</t>
  </si>
  <si>
    <t>tempProfileID = "VPDPAH2"</t>
  </si>
  <si>
    <t>tempOrder1</t>
  </si>
  <si>
    <t>(6483-1-1)</t>
  </si>
  <si>
    <t>1,2</t>
  </si>
  <si>
    <t>White/White</t>
  </si>
  <si>
    <t>3, [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</si>
</sst>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4" xfId="0" applyFont="1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3" fillId="0" borderId="7" xfId="0" applyFont="1" applyBorder="1"/>
    <xf numFmtId="0" fontId="4" fillId="0" borderId="7" xfId="0" applyFont="1" applyBorder="1"/>
    <xf numFmtId="14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0" borderId="10" xfId="0" applyFont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CCB8C-21F2-4EFC-92EB-568EC47AF674}">
  <dimension ref="B3:P14"/>
  <sheetViews>
    <sheetView workbookViewId="0">
      <selection activeCell="P14" sqref="C13:P14"/>
    </sheetView>
  </sheetViews>
  <sheetFormatPr defaultRowHeight="15" x14ac:dyDescent="0.25"/>
  <cols>
    <col min="3" max="3" width="5.5703125" customWidth="1"/>
    <col min="4" max="4" width="10.85546875" bestFit="1" customWidth="1"/>
    <col min="14" max="14" width="36.140625" bestFit="1" customWidth="1"/>
  </cols>
  <sheetData>
    <row r="3" spans="2:16" x14ac:dyDescent="0.25">
      <c r="B3" t="s">
        <v>0</v>
      </c>
    </row>
    <row r="5" spans="2:16" x14ac:dyDescent="0.25"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10</v>
      </c>
      <c r="I5" t="s">
        <v>6</v>
      </c>
      <c r="J5" t="s">
        <v>11</v>
      </c>
      <c r="K5" t="s">
        <v>7</v>
      </c>
      <c r="L5">
        <v>1</v>
      </c>
      <c r="M5" t="s">
        <v>8</v>
      </c>
      <c r="N5" t="s">
        <v>12</v>
      </c>
      <c r="O5" t="s">
        <v>9</v>
      </c>
      <c r="P5">
        <v>7975</v>
      </c>
    </row>
    <row r="8" spans="2:16" x14ac:dyDescent="0.25">
      <c r="B8" t="s">
        <v>18</v>
      </c>
    </row>
    <row r="9" spans="2:16" x14ac:dyDescent="0.25">
      <c r="C9" t="s">
        <v>1</v>
      </c>
      <c r="D9" t="s">
        <v>13</v>
      </c>
      <c r="E9" t="s">
        <v>3</v>
      </c>
      <c r="F9" t="s">
        <v>14</v>
      </c>
      <c r="G9" t="s">
        <v>5</v>
      </c>
      <c r="H9" t="s">
        <v>17</v>
      </c>
      <c r="I9" t="s">
        <v>6</v>
      </c>
      <c r="J9" t="s">
        <v>11</v>
      </c>
      <c r="K9" t="s">
        <v>7</v>
      </c>
      <c r="L9">
        <v>1</v>
      </c>
      <c r="M9" t="s">
        <v>8</v>
      </c>
      <c r="N9" t="s">
        <v>16</v>
      </c>
      <c r="O9" t="s">
        <v>9</v>
      </c>
      <c r="P9">
        <v>79.75</v>
      </c>
    </row>
    <row r="10" spans="2:16" x14ac:dyDescent="0.25">
      <c r="C10" t="s">
        <v>1</v>
      </c>
      <c r="D10" t="s">
        <v>13</v>
      </c>
      <c r="E10" t="s">
        <v>3</v>
      </c>
      <c r="F10" t="s">
        <v>15</v>
      </c>
      <c r="G10" t="s">
        <v>5</v>
      </c>
      <c r="H10" t="s">
        <v>17</v>
      </c>
      <c r="I10" t="s">
        <v>6</v>
      </c>
      <c r="J10" t="s">
        <v>11</v>
      </c>
      <c r="K10" t="s">
        <v>7</v>
      </c>
      <c r="L10">
        <v>1</v>
      </c>
      <c r="M10" t="s">
        <v>8</v>
      </c>
      <c r="N10" t="s">
        <v>16</v>
      </c>
      <c r="O10" t="s">
        <v>9</v>
      </c>
      <c r="P10">
        <v>71.75</v>
      </c>
    </row>
    <row r="12" spans="2:16" x14ac:dyDescent="0.25">
      <c r="B12" t="s">
        <v>19</v>
      </c>
    </row>
    <row r="13" spans="2:16" x14ac:dyDescent="0.25">
      <c r="C13" t="s">
        <v>1</v>
      </c>
      <c r="D13" t="s">
        <v>13</v>
      </c>
      <c r="E13" t="s">
        <v>3</v>
      </c>
      <c r="F13" t="s">
        <v>20</v>
      </c>
      <c r="G13" t="s">
        <v>5</v>
      </c>
      <c r="H13" t="s">
        <v>17</v>
      </c>
      <c r="I13" t="s">
        <v>6</v>
      </c>
      <c r="J13" t="s">
        <v>11</v>
      </c>
      <c r="K13" t="s">
        <v>7</v>
      </c>
      <c r="L13">
        <v>1</v>
      </c>
      <c r="M13" t="s">
        <v>8</v>
      </c>
      <c r="N13" t="s">
        <v>16</v>
      </c>
      <c r="O13" t="s">
        <v>9</v>
      </c>
      <c r="P13">
        <v>77.38</v>
      </c>
    </row>
    <row r="14" spans="2:16" x14ac:dyDescent="0.25">
      <c r="C14" t="s">
        <v>1</v>
      </c>
      <c r="D14" t="s">
        <v>13</v>
      </c>
      <c r="E14" t="s">
        <v>3</v>
      </c>
      <c r="F14" t="s">
        <v>20</v>
      </c>
      <c r="G14" t="s">
        <v>5</v>
      </c>
      <c r="H14" t="s">
        <v>17</v>
      </c>
      <c r="I14" t="s">
        <v>6</v>
      </c>
      <c r="J14" t="s">
        <v>11</v>
      </c>
      <c r="K14" t="s">
        <v>7</v>
      </c>
      <c r="L14">
        <v>1</v>
      </c>
      <c r="M14" t="s">
        <v>8</v>
      </c>
      <c r="N14" t="s">
        <v>16</v>
      </c>
      <c r="O14" t="s">
        <v>9</v>
      </c>
      <c r="P14">
        <v>69.38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73A4-9598-4769-8B95-8A49D3F2B864}">
  <dimension ref="B2:AN87"/>
  <sheetViews>
    <sheetView topLeftCell="O1" workbookViewId="0">
      <selection activeCell="R4" sqref="R4"/>
    </sheetView>
  </sheetViews>
  <sheetFormatPr defaultRowHeight="15" x14ac:dyDescent="0.25"/>
  <cols>
    <col min="2" max="2" width="18.5703125" customWidth="1"/>
    <col min="5" max="5" width="13.140625" customWidth="1"/>
    <col min="12" max="12" width="15.140625" bestFit="1" customWidth="1"/>
    <col min="13" max="13" width="17.7109375" bestFit="1" customWidth="1"/>
    <col min="17" max="17" width="5.42578125" customWidth="1"/>
    <col min="18" max="18" width="15.140625" customWidth="1"/>
    <col min="19" max="21" width="9.140625" customWidth="1"/>
    <col min="22" max="22" width="11.42578125" customWidth="1"/>
    <col min="23" max="25" width="9.140625" customWidth="1"/>
    <col min="26" max="26" width="14.85546875" customWidth="1"/>
    <col min="27" max="29" width="9.140625" customWidth="1"/>
    <col min="30" max="30" width="20.28515625" customWidth="1"/>
    <col min="31" max="32" width="9.140625" customWidth="1"/>
    <col min="33" max="33" width="4.7109375" customWidth="1"/>
    <col min="34" max="34" width="15.85546875" customWidth="1"/>
    <col min="38" max="38" width="13.7109375" customWidth="1"/>
  </cols>
  <sheetData>
    <row r="2" spans="2:40" x14ac:dyDescent="0.25">
      <c r="B2" t="s">
        <v>21</v>
      </c>
      <c r="C2" t="s">
        <v>22</v>
      </c>
      <c r="E2" t="s">
        <v>23</v>
      </c>
      <c r="F2" t="s">
        <v>25</v>
      </c>
      <c r="G2" t="s">
        <v>30</v>
      </c>
      <c r="H2" t="s">
        <v>31</v>
      </c>
      <c r="I2" t="s">
        <v>35</v>
      </c>
    </row>
    <row r="3" spans="2:40" x14ac:dyDescent="0.25">
      <c r="B3" s="1">
        <v>5114589</v>
      </c>
      <c r="C3" s="1">
        <v>1.0009999999999999</v>
      </c>
      <c r="D3" s="1">
        <v>1</v>
      </c>
      <c r="E3" s="1" t="s">
        <v>24</v>
      </c>
      <c r="F3" s="1" t="s">
        <v>26</v>
      </c>
      <c r="G3" s="1">
        <f>35.562+0.25</f>
        <v>35.811999999999998</v>
      </c>
      <c r="H3" s="1">
        <f>76.875+0.25</f>
        <v>77.125</v>
      </c>
      <c r="I3">
        <v>1</v>
      </c>
      <c r="L3" t="s">
        <v>32</v>
      </c>
      <c r="M3" t="s">
        <v>33</v>
      </c>
      <c r="N3" t="s">
        <v>34</v>
      </c>
      <c r="O3" t="s">
        <v>35</v>
      </c>
      <c r="P3" t="s">
        <v>25</v>
      </c>
    </row>
    <row r="4" spans="2:40" x14ac:dyDescent="0.25">
      <c r="B4" s="1">
        <v>5106483</v>
      </c>
      <c r="C4" s="1">
        <v>1</v>
      </c>
      <c r="D4" s="1">
        <v>1</v>
      </c>
      <c r="E4" s="1" t="s">
        <v>27</v>
      </c>
      <c r="F4" s="1" t="s">
        <v>28</v>
      </c>
      <c r="G4" s="1">
        <f>35.562+0.25</f>
        <v>35.811999999999998</v>
      </c>
      <c r="H4" s="1">
        <f>92.875+0.25</f>
        <v>93.125</v>
      </c>
      <c r="I4">
        <v>2</v>
      </c>
      <c r="L4" s="1" t="s">
        <v>36</v>
      </c>
      <c r="M4" s="1" t="s">
        <v>41</v>
      </c>
      <c r="N4" s="1">
        <f>35.562+0.25</f>
        <v>35.811999999999998</v>
      </c>
      <c r="O4" s="1">
        <v>1</v>
      </c>
      <c r="P4" s="1" t="s">
        <v>26</v>
      </c>
      <c r="R4" s="2" t="s">
        <v>59</v>
      </c>
      <c r="S4" s="22" t="s">
        <v>60</v>
      </c>
      <c r="T4" s="22"/>
      <c r="U4" s="22"/>
      <c r="V4" s="22"/>
      <c r="W4" s="2" t="s">
        <v>26</v>
      </c>
      <c r="Z4" s="7" t="s">
        <v>71</v>
      </c>
      <c r="AA4" s="23" t="s">
        <v>67</v>
      </c>
      <c r="AB4" s="23"/>
      <c r="AC4" s="23"/>
      <c r="AD4" s="23"/>
      <c r="AE4" s="7" t="s">
        <v>28</v>
      </c>
      <c r="AF4" s="2"/>
      <c r="AH4" s="2" t="s">
        <v>59</v>
      </c>
      <c r="AI4" s="22" t="s">
        <v>60</v>
      </c>
      <c r="AJ4" s="22"/>
      <c r="AK4" s="22"/>
      <c r="AL4" s="22"/>
      <c r="AM4" s="2" t="s">
        <v>29</v>
      </c>
    </row>
    <row r="5" spans="2:40" x14ac:dyDescent="0.25">
      <c r="B5" s="1">
        <v>5109096</v>
      </c>
      <c r="C5" s="1">
        <v>1</v>
      </c>
      <c r="D5" s="1">
        <v>1</v>
      </c>
      <c r="E5" s="1" t="s">
        <v>27</v>
      </c>
      <c r="F5" s="1" t="s">
        <v>29</v>
      </c>
      <c r="G5" s="1">
        <f>35.562+0.25</f>
        <v>35.811999999999998</v>
      </c>
      <c r="H5" s="1">
        <f>92.875+0.25</f>
        <v>93.125</v>
      </c>
      <c r="I5">
        <v>3</v>
      </c>
      <c r="L5" s="4" t="s">
        <v>36</v>
      </c>
      <c r="M5" s="4" t="s">
        <v>44</v>
      </c>
      <c r="N5" s="4">
        <f>76.875+0.25</f>
        <v>77.125</v>
      </c>
      <c r="O5" s="4">
        <v>1</v>
      </c>
      <c r="P5" s="4" t="s">
        <v>26</v>
      </c>
      <c r="R5" s="2" t="s">
        <v>32</v>
      </c>
      <c r="S5" s="2" t="s">
        <v>34</v>
      </c>
      <c r="T5" s="2" t="s">
        <v>35</v>
      </c>
      <c r="V5" s="2" t="s">
        <v>32</v>
      </c>
      <c r="W5" s="2" t="s">
        <v>34</v>
      </c>
      <c r="X5" s="2" t="s">
        <v>35</v>
      </c>
      <c r="Z5" s="7" t="s">
        <v>32</v>
      </c>
      <c r="AA5" s="7" t="s">
        <v>34</v>
      </c>
      <c r="AB5" s="7" t="s">
        <v>35</v>
      </c>
      <c r="AC5" s="6"/>
      <c r="AD5" s="7"/>
      <c r="AE5" s="7"/>
      <c r="AF5" s="2"/>
      <c r="AG5" s="2"/>
      <c r="AH5" s="2" t="s">
        <v>32</v>
      </c>
      <c r="AI5" s="2" t="s">
        <v>34</v>
      </c>
      <c r="AJ5" s="2" t="s">
        <v>35</v>
      </c>
      <c r="AL5" s="2" t="s">
        <v>32</v>
      </c>
      <c r="AM5" s="2" t="s">
        <v>34</v>
      </c>
      <c r="AN5" s="2" t="s">
        <v>35</v>
      </c>
    </row>
    <row r="6" spans="2:40" x14ac:dyDescent="0.25">
      <c r="B6" s="1">
        <v>5091872</v>
      </c>
      <c r="C6" s="1">
        <v>1</v>
      </c>
      <c r="D6" s="1">
        <v>1</v>
      </c>
      <c r="E6" s="1" t="s">
        <v>27</v>
      </c>
      <c r="F6" s="1" t="s">
        <v>29</v>
      </c>
      <c r="G6" s="1">
        <f t="shared" ref="G6:G36" si="0">35.562+0.25</f>
        <v>35.811999999999998</v>
      </c>
      <c r="H6" s="1">
        <f t="shared" ref="H6:H36" si="1">92.875+0.25</f>
        <v>93.125</v>
      </c>
      <c r="I6" s="1">
        <v>4</v>
      </c>
      <c r="L6" s="3" t="s">
        <v>36</v>
      </c>
      <c r="M6" s="3" t="s">
        <v>45</v>
      </c>
      <c r="N6" s="3">
        <f>35.562+0.25</f>
        <v>35.811999999999998</v>
      </c>
      <c r="O6" s="3">
        <v>1</v>
      </c>
      <c r="P6" s="3" t="s">
        <v>26</v>
      </c>
      <c r="R6" t="s">
        <v>36</v>
      </c>
      <c r="S6">
        <f>35.562+0.25</f>
        <v>35.811999999999998</v>
      </c>
      <c r="T6">
        <v>1</v>
      </c>
      <c r="V6" t="s">
        <v>57</v>
      </c>
      <c r="W6">
        <f>35.562+0.25</f>
        <v>35.811999999999998</v>
      </c>
      <c r="X6">
        <v>49</v>
      </c>
      <c r="Z6" s="6" t="s">
        <v>37</v>
      </c>
      <c r="AA6" s="6">
        <f>35.562+0.25</f>
        <v>35.811999999999998</v>
      </c>
      <c r="AB6" s="6">
        <v>2</v>
      </c>
      <c r="AC6" s="6"/>
      <c r="AD6" s="6"/>
      <c r="AE6" s="6"/>
      <c r="AH6" t="s">
        <v>38</v>
      </c>
      <c r="AI6">
        <f>35.562+0.25</f>
        <v>35.811999999999998</v>
      </c>
      <c r="AJ6">
        <v>3</v>
      </c>
      <c r="AL6" t="s">
        <v>39</v>
      </c>
      <c r="AM6">
        <f>35.562+0.25</f>
        <v>35.811999999999998</v>
      </c>
      <c r="AN6">
        <v>4</v>
      </c>
    </row>
    <row r="7" spans="2:40" x14ac:dyDescent="0.25">
      <c r="B7" s="1">
        <v>5091872</v>
      </c>
      <c r="C7" s="1">
        <v>1</v>
      </c>
      <c r="D7" s="1">
        <v>2</v>
      </c>
      <c r="E7" s="1" t="s">
        <v>27</v>
      </c>
      <c r="F7" s="1" t="s">
        <v>29</v>
      </c>
      <c r="G7" s="1">
        <f t="shared" si="0"/>
        <v>35.811999999999998</v>
      </c>
      <c r="H7" s="1">
        <f t="shared" si="1"/>
        <v>93.125</v>
      </c>
      <c r="I7" s="1">
        <v>5</v>
      </c>
      <c r="L7" s="4" t="s">
        <v>36</v>
      </c>
      <c r="M7" s="4" t="s">
        <v>46</v>
      </c>
      <c r="N7" s="4">
        <f>76.875+0.25</f>
        <v>77.125</v>
      </c>
      <c r="O7" s="4">
        <v>1</v>
      </c>
      <c r="P7" s="4" t="s">
        <v>26</v>
      </c>
      <c r="AH7" t="s">
        <v>40</v>
      </c>
      <c r="AI7">
        <f>35.562+0.25</f>
        <v>35.811999999999998</v>
      </c>
      <c r="AJ7">
        <v>5</v>
      </c>
      <c r="AL7" t="s">
        <v>47</v>
      </c>
      <c r="AM7">
        <f>35.562+0.25</f>
        <v>35.811999999999998</v>
      </c>
      <c r="AN7">
        <v>6</v>
      </c>
    </row>
    <row r="8" spans="2:40" x14ac:dyDescent="0.25">
      <c r="B8" s="1">
        <v>5091872</v>
      </c>
      <c r="C8" s="1">
        <v>1</v>
      </c>
      <c r="D8" s="1">
        <v>3</v>
      </c>
      <c r="E8" s="1" t="s">
        <v>27</v>
      </c>
      <c r="F8" s="1" t="s">
        <v>29</v>
      </c>
      <c r="G8" s="1">
        <f t="shared" si="0"/>
        <v>35.811999999999998</v>
      </c>
      <c r="H8" s="1">
        <f t="shared" si="1"/>
        <v>93.125</v>
      </c>
      <c r="I8" s="1">
        <v>6</v>
      </c>
    </row>
    <row r="9" spans="2:40" x14ac:dyDescent="0.25">
      <c r="B9" s="1">
        <v>5091872</v>
      </c>
      <c r="C9" s="1">
        <v>1</v>
      </c>
      <c r="D9" s="1">
        <v>4</v>
      </c>
      <c r="E9" s="1" t="s">
        <v>27</v>
      </c>
      <c r="F9" s="1" t="s">
        <v>29</v>
      </c>
      <c r="G9" s="1">
        <f t="shared" si="0"/>
        <v>35.811999999999998</v>
      </c>
      <c r="H9" s="1">
        <f t="shared" si="1"/>
        <v>93.125</v>
      </c>
      <c r="I9" s="1">
        <v>7</v>
      </c>
      <c r="L9" s="5" t="s">
        <v>37</v>
      </c>
      <c r="M9" s="5" t="s">
        <v>41</v>
      </c>
      <c r="N9" s="5">
        <f>35.562+0.25</f>
        <v>35.811999999999998</v>
      </c>
      <c r="O9" s="5">
        <v>2</v>
      </c>
      <c r="P9" s="5" t="s">
        <v>28</v>
      </c>
      <c r="R9" s="2" t="s">
        <v>61</v>
      </c>
      <c r="S9" s="22" t="s">
        <v>62</v>
      </c>
      <c r="T9" s="22"/>
      <c r="U9" s="22"/>
      <c r="V9" s="22"/>
      <c r="W9" s="2" t="s">
        <v>26</v>
      </c>
      <c r="Z9" s="7" t="s">
        <v>20</v>
      </c>
      <c r="AA9" s="23" t="s">
        <v>68</v>
      </c>
      <c r="AB9" s="23"/>
      <c r="AC9" s="23"/>
      <c r="AD9" s="23"/>
      <c r="AE9" s="7" t="s">
        <v>28</v>
      </c>
      <c r="AF9" s="2"/>
      <c r="AH9" s="2" t="s">
        <v>61</v>
      </c>
      <c r="AI9" s="22" t="s">
        <v>62</v>
      </c>
      <c r="AJ9" s="22"/>
      <c r="AK9" s="22"/>
      <c r="AL9" s="22"/>
      <c r="AM9" s="2" t="s">
        <v>29</v>
      </c>
    </row>
    <row r="10" spans="2:40" x14ac:dyDescent="0.25">
      <c r="B10">
        <v>5091872</v>
      </c>
      <c r="C10">
        <v>1</v>
      </c>
      <c r="D10">
        <v>5</v>
      </c>
      <c r="E10" t="s">
        <v>27</v>
      </c>
      <c r="F10" t="s">
        <v>29</v>
      </c>
      <c r="G10">
        <f t="shared" si="0"/>
        <v>35.811999999999998</v>
      </c>
      <c r="H10">
        <f t="shared" si="1"/>
        <v>93.125</v>
      </c>
      <c r="I10">
        <v>8</v>
      </c>
      <c r="L10" s="5" t="s">
        <v>37</v>
      </c>
      <c r="M10" s="5" t="s">
        <v>44</v>
      </c>
      <c r="N10" s="5">
        <f>92.875+0.25</f>
        <v>93.125</v>
      </c>
      <c r="O10" s="5">
        <v>2</v>
      </c>
      <c r="P10" s="5" t="s">
        <v>28</v>
      </c>
      <c r="R10" s="2" t="s">
        <v>32</v>
      </c>
      <c r="S10" s="2" t="s">
        <v>34</v>
      </c>
      <c r="T10" s="2" t="s">
        <v>35</v>
      </c>
      <c r="V10" s="2" t="s">
        <v>32</v>
      </c>
      <c r="W10" s="2" t="s">
        <v>34</v>
      </c>
      <c r="X10" s="2" t="s">
        <v>35</v>
      </c>
      <c r="Z10" s="7" t="s">
        <v>32</v>
      </c>
      <c r="AA10" s="7" t="s">
        <v>34</v>
      </c>
      <c r="AB10" s="7" t="s">
        <v>35</v>
      </c>
      <c r="AC10" s="6"/>
      <c r="AD10" s="7"/>
      <c r="AE10" s="7"/>
      <c r="AF10" s="2"/>
      <c r="AG10" s="2"/>
      <c r="AH10" s="2" t="s">
        <v>32</v>
      </c>
      <c r="AI10" s="2" t="s">
        <v>34</v>
      </c>
      <c r="AJ10" s="2" t="s">
        <v>35</v>
      </c>
      <c r="AL10" s="2" t="s">
        <v>32</v>
      </c>
      <c r="AM10" s="2" t="s">
        <v>34</v>
      </c>
      <c r="AN10" s="2" t="s">
        <v>35</v>
      </c>
    </row>
    <row r="11" spans="2:40" x14ac:dyDescent="0.25">
      <c r="B11">
        <v>5091872</v>
      </c>
      <c r="C11">
        <v>1</v>
      </c>
      <c r="D11">
        <v>6</v>
      </c>
      <c r="E11" t="s">
        <v>27</v>
      </c>
      <c r="F11" t="s">
        <v>29</v>
      </c>
      <c r="G11">
        <f t="shared" si="0"/>
        <v>35.811999999999998</v>
      </c>
      <c r="H11">
        <f t="shared" si="1"/>
        <v>93.125</v>
      </c>
      <c r="I11">
        <v>9</v>
      </c>
      <c r="L11" s="5" t="s">
        <v>37</v>
      </c>
      <c r="M11" s="5" t="s">
        <v>45</v>
      </c>
      <c r="N11" s="5">
        <f>35.562+0.25</f>
        <v>35.811999999999998</v>
      </c>
      <c r="O11" s="5">
        <v>2</v>
      </c>
      <c r="P11" s="5" t="s">
        <v>28</v>
      </c>
      <c r="R11" t="s">
        <v>36</v>
      </c>
      <c r="S11">
        <f>35.562+0.25</f>
        <v>35.811999999999998</v>
      </c>
      <c r="T11">
        <v>1</v>
      </c>
      <c r="V11" t="s">
        <v>57</v>
      </c>
      <c r="W11">
        <f>35.562+0.25</f>
        <v>35.811999999999998</v>
      </c>
      <c r="X11">
        <v>49</v>
      </c>
      <c r="Z11" s="6" t="s">
        <v>37</v>
      </c>
      <c r="AA11" s="6">
        <f>35.562+0.25</f>
        <v>35.811999999999998</v>
      </c>
      <c r="AB11" s="6">
        <v>2</v>
      </c>
      <c r="AC11" s="6"/>
      <c r="AD11" s="6"/>
      <c r="AE11" s="6"/>
      <c r="AH11" t="s">
        <v>38</v>
      </c>
      <c r="AI11">
        <f>35.562+0.25</f>
        <v>35.811999999999998</v>
      </c>
      <c r="AJ11">
        <v>3</v>
      </c>
      <c r="AL11" t="s">
        <v>39</v>
      </c>
      <c r="AM11">
        <f>35.562+0.25</f>
        <v>35.811999999999998</v>
      </c>
      <c r="AN11">
        <v>4</v>
      </c>
    </row>
    <row r="12" spans="2:40" x14ac:dyDescent="0.25">
      <c r="B12">
        <v>5091872</v>
      </c>
      <c r="C12">
        <v>1</v>
      </c>
      <c r="D12">
        <v>7</v>
      </c>
      <c r="E12" t="s">
        <v>27</v>
      </c>
      <c r="F12" t="s">
        <v>29</v>
      </c>
      <c r="G12">
        <f t="shared" si="0"/>
        <v>35.811999999999998</v>
      </c>
      <c r="H12">
        <f t="shared" si="1"/>
        <v>93.125</v>
      </c>
      <c r="I12">
        <v>10</v>
      </c>
      <c r="L12" s="5" t="s">
        <v>37</v>
      </c>
      <c r="M12" s="5" t="s">
        <v>46</v>
      </c>
      <c r="N12" s="5">
        <f>92.875+0.25</f>
        <v>93.125</v>
      </c>
      <c r="O12" s="5">
        <v>2</v>
      </c>
      <c r="P12" s="5" t="s">
        <v>28</v>
      </c>
      <c r="AH12" t="s">
        <v>40</v>
      </c>
      <c r="AI12">
        <f>35.562+0.25</f>
        <v>35.811999999999998</v>
      </c>
      <c r="AJ12">
        <v>5</v>
      </c>
      <c r="AL12" t="s">
        <v>47</v>
      </c>
      <c r="AM12">
        <f>35.562+0.25</f>
        <v>35.811999999999998</v>
      </c>
      <c r="AN12">
        <v>6</v>
      </c>
    </row>
    <row r="13" spans="2:40" x14ac:dyDescent="0.25">
      <c r="B13">
        <v>5091872</v>
      </c>
      <c r="C13">
        <v>1</v>
      </c>
      <c r="D13">
        <v>8</v>
      </c>
      <c r="E13" t="s">
        <v>27</v>
      </c>
      <c r="F13" t="s">
        <v>29</v>
      </c>
      <c r="G13">
        <f t="shared" si="0"/>
        <v>35.811999999999998</v>
      </c>
      <c r="H13">
        <f t="shared" si="1"/>
        <v>93.125</v>
      </c>
      <c r="I13">
        <v>11</v>
      </c>
      <c r="R13" s="2" t="s">
        <v>63</v>
      </c>
      <c r="S13" s="22" t="s">
        <v>64</v>
      </c>
      <c r="T13" s="22"/>
      <c r="U13" s="22"/>
      <c r="V13" s="22"/>
      <c r="W13" s="2" t="s">
        <v>26</v>
      </c>
      <c r="Z13" s="7" t="s">
        <v>72</v>
      </c>
      <c r="AA13" s="23" t="s">
        <v>69</v>
      </c>
      <c r="AB13" s="23"/>
      <c r="AC13" s="23"/>
      <c r="AD13" s="23"/>
      <c r="AE13" s="7" t="s">
        <v>28</v>
      </c>
      <c r="AF13" s="2"/>
    </row>
    <row r="14" spans="2:40" x14ac:dyDescent="0.25">
      <c r="B14">
        <v>5091872</v>
      </c>
      <c r="C14">
        <v>1</v>
      </c>
      <c r="D14">
        <v>9</v>
      </c>
      <c r="E14" t="s">
        <v>27</v>
      </c>
      <c r="F14" t="s">
        <v>29</v>
      </c>
      <c r="G14">
        <f t="shared" si="0"/>
        <v>35.811999999999998</v>
      </c>
      <c r="H14">
        <f t="shared" si="1"/>
        <v>93.125</v>
      </c>
      <c r="I14">
        <v>12</v>
      </c>
      <c r="L14" s="5" t="s">
        <v>38</v>
      </c>
      <c r="M14" s="5" t="s">
        <v>41</v>
      </c>
      <c r="N14" s="5">
        <f>35.562+0.25</f>
        <v>35.811999999999998</v>
      </c>
      <c r="O14" s="5">
        <v>3</v>
      </c>
      <c r="P14" s="5" t="s">
        <v>29</v>
      </c>
      <c r="R14" s="2" t="s">
        <v>32</v>
      </c>
      <c r="S14" s="2" t="s">
        <v>34</v>
      </c>
      <c r="T14" s="2" t="s">
        <v>35</v>
      </c>
      <c r="V14" s="2" t="s">
        <v>32</v>
      </c>
      <c r="W14" s="2" t="s">
        <v>34</v>
      </c>
      <c r="X14" s="2" t="s">
        <v>35</v>
      </c>
      <c r="Z14" s="7" t="s">
        <v>32</v>
      </c>
      <c r="AA14" s="7" t="s">
        <v>34</v>
      </c>
      <c r="AB14" s="7" t="s">
        <v>35</v>
      </c>
      <c r="AC14" s="6"/>
      <c r="AD14" s="7"/>
      <c r="AE14" s="7"/>
      <c r="AF14" s="2"/>
      <c r="AG14" s="2"/>
    </row>
    <row r="15" spans="2:40" x14ac:dyDescent="0.25">
      <c r="B15">
        <v>5091872</v>
      </c>
      <c r="C15">
        <v>1</v>
      </c>
      <c r="D15">
        <v>10</v>
      </c>
      <c r="E15" t="s">
        <v>27</v>
      </c>
      <c r="F15" t="s">
        <v>29</v>
      </c>
      <c r="G15">
        <f t="shared" si="0"/>
        <v>35.811999999999998</v>
      </c>
      <c r="H15">
        <f t="shared" si="1"/>
        <v>93.125</v>
      </c>
      <c r="I15">
        <v>13</v>
      </c>
      <c r="L15" s="5" t="s">
        <v>38</v>
      </c>
      <c r="M15" s="5" t="s">
        <v>44</v>
      </c>
      <c r="N15" s="5">
        <f>92.875+0.25</f>
        <v>93.125</v>
      </c>
      <c r="O15" s="5">
        <v>3</v>
      </c>
      <c r="P15" s="5" t="s">
        <v>29</v>
      </c>
      <c r="R15" t="s">
        <v>36</v>
      </c>
      <c r="S15">
        <f>76.875+0.25</f>
        <v>77.125</v>
      </c>
      <c r="T15">
        <v>1</v>
      </c>
      <c r="V15" t="s">
        <v>57</v>
      </c>
      <c r="W15">
        <f>76.875+0.25</f>
        <v>77.125</v>
      </c>
      <c r="X15">
        <v>49</v>
      </c>
      <c r="Z15" s="6" t="s">
        <v>37</v>
      </c>
      <c r="AA15" s="6">
        <f>92.875+0.25</f>
        <v>93.125</v>
      </c>
      <c r="AB15" s="6">
        <v>2</v>
      </c>
      <c r="AC15" s="6"/>
      <c r="AD15" s="6"/>
      <c r="AE15" s="6"/>
      <c r="AH15" s="2" t="s">
        <v>63</v>
      </c>
      <c r="AI15" s="22" t="s">
        <v>64</v>
      </c>
      <c r="AJ15" s="22"/>
      <c r="AK15" s="22"/>
      <c r="AL15" s="22"/>
      <c r="AM15" s="2" t="s">
        <v>29</v>
      </c>
    </row>
    <row r="16" spans="2:40" x14ac:dyDescent="0.25">
      <c r="B16">
        <v>5091872</v>
      </c>
      <c r="C16">
        <v>1</v>
      </c>
      <c r="D16">
        <v>11</v>
      </c>
      <c r="E16" t="s">
        <v>27</v>
      </c>
      <c r="F16" t="s">
        <v>29</v>
      </c>
      <c r="G16">
        <f t="shared" si="0"/>
        <v>35.811999999999998</v>
      </c>
      <c r="H16">
        <f t="shared" si="1"/>
        <v>93.125</v>
      </c>
      <c r="I16">
        <v>14</v>
      </c>
      <c r="L16" s="5" t="s">
        <v>38</v>
      </c>
      <c r="M16" s="5" t="s">
        <v>45</v>
      </c>
      <c r="N16" s="5">
        <f>35.562+0.25</f>
        <v>35.811999999999998</v>
      </c>
      <c r="O16" s="5">
        <v>3</v>
      </c>
      <c r="P16" s="5" t="s">
        <v>29</v>
      </c>
      <c r="AH16" s="2" t="s">
        <v>32</v>
      </c>
      <c r="AI16" s="2" t="s">
        <v>34</v>
      </c>
      <c r="AJ16" s="2" t="s">
        <v>35</v>
      </c>
      <c r="AL16" s="2" t="s">
        <v>32</v>
      </c>
      <c r="AM16" s="2" t="s">
        <v>34</v>
      </c>
      <c r="AN16" s="2" t="s">
        <v>35</v>
      </c>
    </row>
    <row r="17" spans="2:40" x14ac:dyDescent="0.25">
      <c r="B17">
        <v>5091872</v>
      </c>
      <c r="C17">
        <v>1</v>
      </c>
      <c r="D17">
        <v>12</v>
      </c>
      <c r="E17" t="s">
        <v>27</v>
      </c>
      <c r="F17" t="s">
        <v>29</v>
      </c>
      <c r="G17">
        <f t="shared" si="0"/>
        <v>35.811999999999998</v>
      </c>
      <c r="H17">
        <f t="shared" si="1"/>
        <v>93.125</v>
      </c>
      <c r="I17">
        <v>15</v>
      </c>
      <c r="L17" s="5" t="s">
        <v>38</v>
      </c>
      <c r="M17" s="5" t="s">
        <v>46</v>
      </c>
      <c r="N17" s="5">
        <f>92.875+0.25</f>
        <v>93.125</v>
      </c>
      <c r="O17" s="5">
        <v>3</v>
      </c>
      <c r="P17" s="5" t="s">
        <v>29</v>
      </c>
      <c r="AH17" t="s">
        <v>38</v>
      </c>
      <c r="AI17">
        <f>92.875+0.25</f>
        <v>93.125</v>
      </c>
      <c r="AJ17">
        <v>3</v>
      </c>
      <c r="AL17" t="s">
        <v>39</v>
      </c>
      <c r="AM17">
        <f>92.875+0.25</f>
        <v>93.125</v>
      </c>
      <c r="AN17">
        <v>4</v>
      </c>
    </row>
    <row r="18" spans="2:40" x14ac:dyDescent="0.25">
      <c r="B18">
        <v>5091872</v>
      </c>
      <c r="C18">
        <v>1</v>
      </c>
      <c r="D18">
        <v>13</v>
      </c>
      <c r="E18" t="s">
        <v>27</v>
      </c>
      <c r="F18" t="s">
        <v>29</v>
      </c>
      <c r="G18">
        <f t="shared" si="0"/>
        <v>35.811999999999998</v>
      </c>
      <c r="H18">
        <f t="shared" si="1"/>
        <v>93.125</v>
      </c>
      <c r="I18">
        <v>16</v>
      </c>
      <c r="R18" s="2" t="s">
        <v>65</v>
      </c>
      <c r="S18" s="22" t="s">
        <v>66</v>
      </c>
      <c r="T18" s="22"/>
      <c r="U18" s="22"/>
      <c r="V18" s="22"/>
      <c r="W18" s="2" t="s">
        <v>26</v>
      </c>
      <c r="Z18" s="7" t="s">
        <v>73</v>
      </c>
      <c r="AA18" s="23" t="s">
        <v>70</v>
      </c>
      <c r="AB18" s="23"/>
      <c r="AC18" s="23"/>
      <c r="AD18" s="23"/>
      <c r="AE18" s="7" t="s">
        <v>28</v>
      </c>
      <c r="AF18" s="2"/>
      <c r="AH18" t="s">
        <v>40</v>
      </c>
      <c r="AI18">
        <f>92.875+0.25</f>
        <v>93.125</v>
      </c>
      <c r="AJ18">
        <v>5</v>
      </c>
      <c r="AL18" t="s">
        <v>47</v>
      </c>
      <c r="AM18">
        <f>92.875+0.25</f>
        <v>93.125</v>
      </c>
      <c r="AN18">
        <v>6</v>
      </c>
    </row>
    <row r="19" spans="2:40" x14ac:dyDescent="0.25">
      <c r="B19">
        <v>5091872</v>
      </c>
      <c r="C19">
        <v>1</v>
      </c>
      <c r="D19">
        <v>14</v>
      </c>
      <c r="E19" t="s">
        <v>27</v>
      </c>
      <c r="F19" t="s">
        <v>29</v>
      </c>
      <c r="G19">
        <f t="shared" si="0"/>
        <v>35.811999999999998</v>
      </c>
      <c r="H19">
        <f t="shared" si="1"/>
        <v>93.125</v>
      </c>
      <c r="I19">
        <v>17</v>
      </c>
      <c r="L19" s="5" t="s">
        <v>39</v>
      </c>
      <c r="M19" s="5" t="s">
        <v>41</v>
      </c>
      <c r="N19" s="5">
        <f>35.562+0.25</f>
        <v>35.811999999999998</v>
      </c>
      <c r="O19" s="5">
        <v>4</v>
      </c>
      <c r="P19" s="5" t="s">
        <v>29</v>
      </c>
      <c r="R19" s="2" t="s">
        <v>32</v>
      </c>
      <c r="S19" s="2" t="s">
        <v>34</v>
      </c>
      <c r="T19" s="2" t="s">
        <v>35</v>
      </c>
      <c r="V19" s="2" t="s">
        <v>32</v>
      </c>
      <c r="W19" s="2" t="s">
        <v>34</v>
      </c>
      <c r="X19" s="2" t="s">
        <v>35</v>
      </c>
      <c r="Z19" s="7" t="s">
        <v>32</v>
      </c>
      <c r="AA19" s="7" t="s">
        <v>34</v>
      </c>
      <c r="AB19" s="7" t="s">
        <v>35</v>
      </c>
      <c r="AC19" s="6"/>
      <c r="AD19" s="7"/>
      <c r="AE19" s="7"/>
      <c r="AF19" s="2"/>
      <c r="AG19" s="2"/>
    </row>
    <row r="20" spans="2:40" x14ac:dyDescent="0.25">
      <c r="B20">
        <v>5091872</v>
      </c>
      <c r="C20">
        <v>1</v>
      </c>
      <c r="D20">
        <v>15</v>
      </c>
      <c r="E20" t="s">
        <v>27</v>
      </c>
      <c r="F20" t="s">
        <v>29</v>
      </c>
      <c r="G20">
        <f t="shared" si="0"/>
        <v>35.811999999999998</v>
      </c>
      <c r="H20">
        <f t="shared" si="1"/>
        <v>93.125</v>
      </c>
      <c r="I20">
        <v>18</v>
      </c>
      <c r="L20" s="5" t="s">
        <v>39</v>
      </c>
      <c r="M20" s="5" t="s">
        <v>44</v>
      </c>
      <c r="N20" s="5">
        <f>92.875+0.25</f>
        <v>93.125</v>
      </c>
      <c r="O20" s="5">
        <v>4</v>
      </c>
      <c r="P20" s="5" t="s">
        <v>29</v>
      </c>
      <c r="R20" t="s">
        <v>36</v>
      </c>
      <c r="S20">
        <f>76.875+0.25</f>
        <v>77.125</v>
      </c>
      <c r="T20">
        <v>1</v>
      </c>
      <c r="V20" t="s">
        <v>57</v>
      </c>
      <c r="W20">
        <f>76.875+0.25</f>
        <v>77.125</v>
      </c>
      <c r="X20">
        <v>49</v>
      </c>
      <c r="Z20" s="6" t="s">
        <v>37</v>
      </c>
      <c r="AA20" s="6">
        <f>92.875+0.25</f>
        <v>93.125</v>
      </c>
      <c r="AB20" s="6">
        <v>2</v>
      </c>
      <c r="AC20" s="6"/>
      <c r="AD20" s="6"/>
      <c r="AE20" s="6"/>
    </row>
    <row r="21" spans="2:40" x14ac:dyDescent="0.25">
      <c r="B21">
        <v>5091872</v>
      </c>
      <c r="C21">
        <v>1</v>
      </c>
      <c r="D21">
        <v>16</v>
      </c>
      <c r="E21" t="s">
        <v>27</v>
      </c>
      <c r="F21" t="s">
        <v>29</v>
      </c>
      <c r="G21">
        <f t="shared" si="0"/>
        <v>35.811999999999998</v>
      </c>
      <c r="H21">
        <f t="shared" si="1"/>
        <v>93.125</v>
      </c>
      <c r="I21">
        <v>19</v>
      </c>
      <c r="L21" s="5" t="s">
        <v>39</v>
      </c>
      <c r="M21" s="5" t="s">
        <v>45</v>
      </c>
      <c r="N21" s="5">
        <f>35.562+0.25</f>
        <v>35.811999999999998</v>
      </c>
      <c r="O21" s="5">
        <v>4</v>
      </c>
      <c r="P21" s="5" t="s">
        <v>29</v>
      </c>
      <c r="AH21" s="2" t="s">
        <v>65</v>
      </c>
      <c r="AI21" s="22" t="s">
        <v>66</v>
      </c>
      <c r="AJ21" s="22"/>
      <c r="AK21" s="22"/>
      <c r="AL21" s="22"/>
      <c r="AM21" s="2" t="s">
        <v>29</v>
      </c>
    </row>
    <row r="22" spans="2:40" x14ac:dyDescent="0.25">
      <c r="B22">
        <v>5091872</v>
      </c>
      <c r="C22">
        <v>1</v>
      </c>
      <c r="D22">
        <v>17</v>
      </c>
      <c r="E22" t="s">
        <v>27</v>
      </c>
      <c r="F22" t="s">
        <v>29</v>
      </c>
      <c r="G22">
        <f t="shared" si="0"/>
        <v>35.811999999999998</v>
      </c>
      <c r="H22">
        <f t="shared" si="1"/>
        <v>93.125</v>
      </c>
      <c r="I22">
        <v>20</v>
      </c>
      <c r="L22" s="5" t="s">
        <v>39</v>
      </c>
      <c r="M22" s="5" t="s">
        <v>46</v>
      </c>
      <c r="N22" s="5">
        <f>92.875+0.25</f>
        <v>93.125</v>
      </c>
      <c r="O22" s="5">
        <v>4</v>
      </c>
      <c r="P22" s="5" t="s">
        <v>29</v>
      </c>
      <c r="AH22" s="2" t="s">
        <v>32</v>
      </c>
      <c r="AI22" s="2" t="s">
        <v>34</v>
      </c>
      <c r="AJ22" s="2" t="s">
        <v>35</v>
      </c>
      <c r="AL22" s="2" t="s">
        <v>32</v>
      </c>
      <c r="AM22" s="2" t="s">
        <v>34</v>
      </c>
      <c r="AN22" s="2" t="s">
        <v>35</v>
      </c>
    </row>
    <row r="23" spans="2:40" x14ac:dyDescent="0.25">
      <c r="B23">
        <v>5091872</v>
      </c>
      <c r="C23">
        <v>1</v>
      </c>
      <c r="D23">
        <v>18</v>
      </c>
      <c r="E23" t="s">
        <v>27</v>
      </c>
      <c r="F23" t="s">
        <v>29</v>
      </c>
      <c r="G23">
        <f t="shared" si="0"/>
        <v>35.811999999999998</v>
      </c>
      <c r="H23">
        <f t="shared" si="1"/>
        <v>93.125</v>
      </c>
      <c r="I23">
        <v>21</v>
      </c>
      <c r="Z23" s="2" t="s">
        <v>74</v>
      </c>
      <c r="AA23" s="22" t="s">
        <v>75</v>
      </c>
      <c r="AB23" s="22"/>
      <c r="AC23" s="22"/>
      <c r="AD23" s="22"/>
      <c r="AE23" s="2" t="s">
        <v>28</v>
      </c>
      <c r="AH23" t="s">
        <v>38</v>
      </c>
      <c r="AI23">
        <f>92.875+0.25</f>
        <v>93.125</v>
      </c>
      <c r="AJ23">
        <v>3</v>
      </c>
      <c r="AL23" t="s">
        <v>39</v>
      </c>
      <c r="AM23">
        <f>92.875+0.25</f>
        <v>93.125</v>
      </c>
      <c r="AN23">
        <v>4</v>
      </c>
    </row>
    <row r="24" spans="2:40" x14ac:dyDescent="0.25">
      <c r="B24">
        <v>5091872</v>
      </c>
      <c r="C24">
        <v>1</v>
      </c>
      <c r="D24">
        <v>19</v>
      </c>
      <c r="E24" t="s">
        <v>27</v>
      </c>
      <c r="F24" t="s">
        <v>29</v>
      </c>
      <c r="G24">
        <f t="shared" si="0"/>
        <v>35.811999999999998</v>
      </c>
      <c r="H24">
        <f t="shared" si="1"/>
        <v>93.125</v>
      </c>
      <c r="I24">
        <v>22</v>
      </c>
      <c r="L24" s="5" t="s">
        <v>40</v>
      </c>
      <c r="M24" s="5" t="s">
        <v>41</v>
      </c>
      <c r="N24" s="5">
        <f>35.562+0.25</f>
        <v>35.811999999999998</v>
      </c>
      <c r="O24" s="5">
        <v>5</v>
      </c>
      <c r="P24" s="5" t="s">
        <v>29</v>
      </c>
      <c r="Z24" s="2" t="s">
        <v>32</v>
      </c>
      <c r="AA24" s="2" t="s">
        <v>34</v>
      </c>
      <c r="AB24" s="2" t="s">
        <v>35</v>
      </c>
      <c r="AD24" s="2" t="s">
        <v>32</v>
      </c>
      <c r="AE24" s="2" t="s">
        <v>34</v>
      </c>
      <c r="AF24" s="2" t="s">
        <v>35</v>
      </c>
      <c r="AH24" t="s">
        <v>40</v>
      </c>
      <c r="AI24">
        <f>92.875+0.25</f>
        <v>93.125</v>
      </c>
      <c r="AJ24">
        <v>5</v>
      </c>
      <c r="AL24" t="s">
        <v>47</v>
      </c>
      <c r="AM24">
        <f>92.875+0.25</f>
        <v>93.125</v>
      </c>
      <c r="AN24">
        <v>6</v>
      </c>
    </row>
    <row r="25" spans="2:40" x14ac:dyDescent="0.25">
      <c r="B25">
        <v>5091872</v>
      </c>
      <c r="C25">
        <v>1</v>
      </c>
      <c r="D25">
        <v>20</v>
      </c>
      <c r="E25" t="s">
        <v>27</v>
      </c>
      <c r="F25" t="s">
        <v>29</v>
      </c>
      <c r="G25">
        <f t="shared" si="0"/>
        <v>35.811999999999998</v>
      </c>
      <c r="H25">
        <f t="shared" si="1"/>
        <v>93.125</v>
      </c>
      <c r="I25">
        <v>23</v>
      </c>
      <c r="L25" s="5" t="s">
        <v>40</v>
      </c>
      <c r="M25" s="5" t="s">
        <v>44</v>
      </c>
      <c r="N25" s="5">
        <f>92.875+0.25</f>
        <v>93.125</v>
      </c>
      <c r="O25" s="5">
        <v>5</v>
      </c>
      <c r="P25" s="5" t="s">
        <v>29</v>
      </c>
      <c r="Z25" t="s">
        <v>37</v>
      </c>
      <c r="AA25">
        <f>35.562+0.25</f>
        <v>35.811999999999998</v>
      </c>
      <c r="AB25">
        <v>2</v>
      </c>
      <c r="AD25" t="s">
        <v>37</v>
      </c>
      <c r="AE25">
        <f>35.562+0.25</f>
        <v>35.811999999999998</v>
      </c>
      <c r="AF25">
        <v>2</v>
      </c>
    </row>
    <row r="26" spans="2:40" x14ac:dyDescent="0.25">
      <c r="B26" t="s">
        <v>42</v>
      </c>
      <c r="L26" s="5" t="s">
        <v>40</v>
      </c>
      <c r="M26" s="5" t="s">
        <v>45</v>
      </c>
      <c r="N26" s="5">
        <f>35.562+0.25</f>
        <v>35.811999999999998</v>
      </c>
      <c r="O26" s="5">
        <v>5</v>
      </c>
      <c r="P26" s="5" t="s">
        <v>29</v>
      </c>
    </row>
    <row r="27" spans="2:40" x14ac:dyDescent="0.25">
      <c r="B27" s="1">
        <v>5041841</v>
      </c>
      <c r="C27" s="1">
        <v>4</v>
      </c>
      <c r="D27" s="1">
        <v>1</v>
      </c>
      <c r="E27" s="1" t="s">
        <v>27</v>
      </c>
      <c r="F27" s="1" t="s">
        <v>43</v>
      </c>
      <c r="G27" s="1">
        <f t="shared" si="0"/>
        <v>35.811999999999998</v>
      </c>
      <c r="H27" s="1">
        <f t="shared" si="1"/>
        <v>93.125</v>
      </c>
      <c r="I27" s="1">
        <v>40</v>
      </c>
      <c r="L27" s="5" t="s">
        <v>40</v>
      </c>
      <c r="M27" s="5" t="s">
        <v>46</v>
      </c>
      <c r="N27" s="5">
        <f>92.875+0.25</f>
        <v>93.125</v>
      </c>
      <c r="O27" s="5">
        <v>5</v>
      </c>
      <c r="P27" s="5" t="s">
        <v>29</v>
      </c>
      <c r="Z27" s="2" t="s">
        <v>76</v>
      </c>
      <c r="AA27" s="22" t="s">
        <v>77</v>
      </c>
      <c r="AB27" s="22"/>
      <c r="AC27" s="22"/>
      <c r="AD27" s="22"/>
      <c r="AE27" s="2" t="s">
        <v>28</v>
      </c>
    </row>
    <row r="28" spans="2:40" x14ac:dyDescent="0.25">
      <c r="B28" s="1">
        <v>5041841</v>
      </c>
      <c r="C28" s="1">
        <v>4</v>
      </c>
      <c r="D28" s="1">
        <v>2</v>
      </c>
      <c r="E28" s="1" t="s">
        <v>27</v>
      </c>
      <c r="F28" s="1" t="s">
        <v>43</v>
      </c>
      <c r="G28" s="1">
        <f t="shared" si="0"/>
        <v>35.811999999999998</v>
      </c>
      <c r="H28" s="1">
        <f t="shared" si="1"/>
        <v>93.125</v>
      </c>
      <c r="I28" s="1">
        <v>41</v>
      </c>
      <c r="Z28" s="2" t="s">
        <v>32</v>
      </c>
      <c r="AA28" s="2" t="s">
        <v>34</v>
      </c>
      <c r="AB28" s="2" t="s">
        <v>35</v>
      </c>
      <c r="AD28" s="2" t="s">
        <v>32</v>
      </c>
      <c r="AE28" s="2" t="s">
        <v>34</v>
      </c>
      <c r="AF28" s="2" t="s">
        <v>35</v>
      </c>
    </row>
    <row r="29" spans="2:40" x14ac:dyDescent="0.25">
      <c r="B29" s="1">
        <v>5041841</v>
      </c>
      <c r="C29" s="1">
        <v>4</v>
      </c>
      <c r="D29" s="1">
        <v>3</v>
      </c>
      <c r="E29" s="1" t="s">
        <v>27</v>
      </c>
      <c r="F29" s="1" t="s">
        <v>43</v>
      </c>
      <c r="G29" s="1">
        <f t="shared" si="0"/>
        <v>35.811999999999998</v>
      </c>
      <c r="H29" s="1">
        <f t="shared" si="1"/>
        <v>93.125</v>
      </c>
      <c r="I29" s="1">
        <v>42</v>
      </c>
      <c r="L29" s="5" t="s">
        <v>47</v>
      </c>
      <c r="M29" s="5" t="s">
        <v>41</v>
      </c>
      <c r="N29" s="5">
        <f>35.562+0.25</f>
        <v>35.811999999999998</v>
      </c>
      <c r="O29" s="5">
        <v>6</v>
      </c>
      <c r="P29" s="5" t="s">
        <v>29</v>
      </c>
      <c r="Z29" t="s">
        <v>37</v>
      </c>
      <c r="AA29">
        <f>92.875+0.25</f>
        <v>93.125</v>
      </c>
      <c r="AB29">
        <v>2</v>
      </c>
      <c r="AD29" t="s">
        <v>37</v>
      </c>
      <c r="AE29">
        <f>92.875+0.25</f>
        <v>93.125</v>
      </c>
      <c r="AF29">
        <v>2</v>
      </c>
    </row>
    <row r="30" spans="2:40" x14ac:dyDescent="0.25">
      <c r="B30" s="1">
        <v>5041841</v>
      </c>
      <c r="C30" s="1">
        <v>4</v>
      </c>
      <c r="D30" s="1">
        <v>4</v>
      </c>
      <c r="E30" s="1" t="s">
        <v>27</v>
      </c>
      <c r="F30" s="1" t="s">
        <v>43</v>
      </c>
      <c r="G30" s="1">
        <f t="shared" si="0"/>
        <v>35.811999999999998</v>
      </c>
      <c r="H30" s="1">
        <f t="shared" si="1"/>
        <v>93.125</v>
      </c>
      <c r="I30" s="1">
        <v>43</v>
      </c>
      <c r="L30" s="5" t="s">
        <v>47</v>
      </c>
      <c r="M30" s="5" t="s">
        <v>44</v>
      </c>
      <c r="N30" s="5">
        <f>92.875+0.25</f>
        <v>93.125</v>
      </c>
      <c r="O30" s="5">
        <v>6</v>
      </c>
      <c r="P30" s="5" t="s">
        <v>29</v>
      </c>
    </row>
    <row r="31" spans="2:40" x14ac:dyDescent="0.25">
      <c r="B31" s="1">
        <v>5041841</v>
      </c>
      <c r="C31" s="1">
        <v>5</v>
      </c>
      <c r="D31" s="1">
        <v>1</v>
      </c>
      <c r="E31" s="1" t="s">
        <v>27</v>
      </c>
      <c r="F31" s="1" t="s">
        <v>43</v>
      </c>
      <c r="G31" s="1">
        <f t="shared" si="0"/>
        <v>35.811999999999998</v>
      </c>
      <c r="H31" s="1">
        <f t="shared" si="1"/>
        <v>93.125</v>
      </c>
      <c r="I31" s="1">
        <v>44</v>
      </c>
      <c r="L31" s="5" t="s">
        <v>47</v>
      </c>
      <c r="M31" s="5" t="s">
        <v>45</v>
      </c>
      <c r="N31" s="5">
        <f>35.562+0.25</f>
        <v>35.811999999999998</v>
      </c>
      <c r="O31" s="5">
        <v>6</v>
      </c>
      <c r="P31" s="5" t="s">
        <v>29</v>
      </c>
    </row>
    <row r="32" spans="2:40" x14ac:dyDescent="0.25">
      <c r="B32" s="1">
        <v>5041841</v>
      </c>
      <c r="C32" s="1">
        <v>5</v>
      </c>
      <c r="D32" s="1">
        <v>2</v>
      </c>
      <c r="E32" s="1" t="s">
        <v>27</v>
      </c>
      <c r="F32" s="1" t="s">
        <v>43</v>
      </c>
      <c r="G32" s="1">
        <f t="shared" si="0"/>
        <v>35.811999999999998</v>
      </c>
      <c r="H32" s="1">
        <f t="shared" si="1"/>
        <v>93.125</v>
      </c>
      <c r="I32" s="1">
        <v>45</v>
      </c>
      <c r="L32" s="5" t="s">
        <v>47</v>
      </c>
      <c r="M32" s="5" t="s">
        <v>46</v>
      </c>
      <c r="N32" s="5">
        <f>92.875+0.25</f>
        <v>93.125</v>
      </c>
      <c r="O32" s="5">
        <v>6</v>
      </c>
      <c r="P32" s="5" t="s">
        <v>29</v>
      </c>
    </row>
    <row r="33" spans="2:16" x14ac:dyDescent="0.25">
      <c r="B33" s="1">
        <v>5041841</v>
      </c>
      <c r="C33" s="1">
        <v>5</v>
      </c>
      <c r="D33" s="1">
        <v>3</v>
      </c>
      <c r="E33" s="1" t="s">
        <v>27</v>
      </c>
      <c r="F33" s="1" t="s">
        <v>43</v>
      </c>
      <c r="G33" s="1">
        <f t="shared" si="0"/>
        <v>35.811999999999998</v>
      </c>
      <c r="H33" s="1">
        <f t="shared" si="1"/>
        <v>93.125</v>
      </c>
      <c r="I33" s="1">
        <v>46</v>
      </c>
    </row>
    <row r="34" spans="2:16" x14ac:dyDescent="0.25">
      <c r="B34" s="1">
        <v>5041841</v>
      </c>
      <c r="C34" s="1">
        <v>5</v>
      </c>
      <c r="D34" s="1">
        <v>4</v>
      </c>
      <c r="E34" s="1" t="s">
        <v>27</v>
      </c>
      <c r="F34" s="1" t="s">
        <v>43</v>
      </c>
      <c r="G34" s="1">
        <f t="shared" si="0"/>
        <v>35.811999999999998</v>
      </c>
      <c r="H34" s="1">
        <f t="shared" si="1"/>
        <v>93.125</v>
      </c>
      <c r="I34" s="1">
        <v>47</v>
      </c>
      <c r="L34" t="s">
        <v>48</v>
      </c>
      <c r="M34" t="s">
        <v>41</v>
      </c>
      <c r="N34">
        <f>35.562+0.25</f>
        <v>35.811999999999998</v>
      </c>
      <c r="O34">
        <v>7</v>
      </c>
      <c r="P34" t="s">
        <v>29</v>
      </c>
    </row>
    <row r="35" spans="2:16" x14ac:dyDescent="0.25">
      <c r="B35" s="1">
        <v>5115207</v>
      </c>
      <c r="C35" s="1">
        <v>1</v>
      </c>
      <c r="D35" s="1">
        <v>1</v>
      </c>
      <c r="E35" s="1" t="s">
        <v>24</v>
      </c>
      <c r="F35" s="1" t="s">
        <v>26</v>
      </c>
      <c r="G35" s="1">
        <f t="shared" si="0"/>
        <v>35.811999999999998</v>
      </c>
      <c r="H35" s="1">
        <f>76.875+0.25</f>
        <v>77.125</v>
      </c>
      <c r="I35" s="1">
        <v>49</v>
      </c>
      <c r="L35" t="s">
        <v>48</v>
      </c>
      <c r="M35" t="s">
        <v>44</v>
      </c>
      <c r="N35">
        <f>92.875+0.25</f>
        <v>93.125</v>
      </c>
      <c r="O35">
        <v>7</v>
      </c>
      <c r="P35" t="s">
        <v>29</v>
      </c>
    </row>
    <row r="36" spans="2:16" x14ac:dyDescent="0.25">
      <c r="B36">
        <v>5113568</v>
      </c>
      <c r="C36">
        <v>1</v>
      </c>
      <c r="D36">
        <v>1</v>
      </c>
      <c r="E36" t="s">
        <v>27</v>
      </c>
      <c r="F36" t="s">
        <v>26</v>
      </c>
      <c r="G36">
        <f t="shared" si="0"/>
        <v>35.811999999999998</v>
      </c>
      <c r="H36">
        <f t="shared" si="1"/>
        <v>93.125</v>
      </c>
      <c r="I36">
        <v>51</v>
      </c>
      <c r="L36" t="s">
        <v>48</v>
      </c>
      <c r="M36" t="s">
        <v>45</v>
      </c>
      <c r="N36">
        <f>35.562+0.25</f>
        <v>35.811999999999998</v>
      </c>
      <c r="O36">
        <v>7</v>
      </c>
      <c r="P36" t="s">
        <v>29</v>
      </c>
    </row>
    <row r="37" spans="2:16" x14ac:dyDescent="0.25">
      <c r="L37" t="s">
        <v>48</v>
      </c>
      <c r="M37" t="s">
        <v>46</v>
      </c>
      <c r="N37">
        <f>92.875+0.25</f>
        <v>93.125</v>
      </c>
      <c r="O37">
        <v>7</v>
      </c>
      <c r="P37" t="s">
        <v>29</v>
      </c>
    </row>
    <row r="39" spans="2:16" x14ac:dyDescent="0.25">
      <c r="L39" t="s">
        <v>49</v>
      </c>
      <c r="M39" t="s">
        <v>41</v>
      </c>
      <c r="N39">
        <f>35.562+0.25</f>
        <v>35.811999999999998</v>
      </c>
      <c r="O39">
        <v>40</v>
      </c>
      <c r="P39" t="s">
        <v>43</v>
      </c>
    </row>
    <row r="40" spans="2:16" x14ac:dyDescent="0.25">
      <c r="L40" t="s">
        <v>49</v>
      </c>
      <c r="M40" t="s">
        <v>44</v>
      </c>
      <c r="N40">
        <f>92.875+0.25</f>
        <v>93.125</v>
      </c>
      <c r="O40">
        <v>40</v>
      </c>
      <c r="P40" t="s">
        <v>43</v>
      </c>
    </row>
    <row r="41" spans="2:16" x14ac:dyDescent="0.25">
      <c r="L41" t="s">
        <v>49</v>
      </c>
      <c r="M41" t="s">
        <v>45</v>
      </c>
      <c r="N41">
        <f>35.562+0.25</f>
        <v>35.811999999999998</v>
      </c>
      <c r="O41">
        <v>40</v>
      </c>
      <c r="P41" t="s">
        <v>43</v>
      </c>
    </row>
    <row r="42" spans="2:16" x14ac:dyDescent="0.25">
      <c r="L42" t="s">
        <v>49</v>
      </c>
      <c r="M42" t="s">
        <v>46</v>
      </c>
      <c r="N42">
        <f>92.875+0.25</f>
        <v>93.125</v>
      </c>
      <c r="O42">
        <v>40</v>
      </c>
      <c r="P42" t="s">
        <v>43</v>
      </c>
    </row>
    <row r="44" spans="2:16" x14ac:dyDescent="0.25">
      <c r="L44" t="s">
        <v>50</v>
      </c>
      <c r="M44" t="s">
        <v>41</v>
      </c>
      <c r="N44">
        <f>35.562+0.25</f>
        <v>35.811999999999998</v>
      </c>
      <c r="O44">
        <v>41</v>
      </c>
      <c r="P44" t="s">
        <v>43</v>
      </c>
    </row>
    <row r="45" spans="2:16" x14ac:dyDescent="0.25">
      <c r="L45" t="s">
        <v>50</v>
      </c>
      <c r="M45" t="s">
        <v>44</v>
      </c>
      <c r="N45">
        <f>92.875+0.25</f>
        <v>93.125</v>
      </c>
      <c r="O45">
        <v>41</v>
      </c>
      <c r="P45" t="s">
        <v>43</v>
      </c>
    </row>
    <row r="46" spans="2:16" x14ac:dyDescent="0.25">
      <c r="L46" t="s">
        <v>50</v>
      </c>
      <c r="M46" t="s">
        <v>45</v>
      </c>
      <c r="N46">
        <f>35.562+0.25</f>
        <v>35.811999999999998</v>
      </c>
      <c r="O46">
        <v>41</v>
      </c>
      <c r="P46" t="s">
        <v>43</v>
      </c>
    </row>
    <row r="47" spans="2:16" x14ac:dyDescent="0.25">
      <c r="L47" t="s">
        <v>50</v>
      </c>
      <c r="M47" t="s">
        <v>46</v>
      </c>
      <c r="N47">
        <f>92.875+0.25</f>
        <v>93.125</v>
      </c>
      <c r="O47">
        <v>41</v>
      </c>
      <c r="P47" t="s">
        <v>43</v>
      </c>
    </row>
    <row r="49" spans="12:16" x14ac:dyDescent="0.25">
      <c r="L49" t="s">
        <v>51</v>
      </c>
      <c r="M49" t="s">
        <v>41</v>
      </c>
      <c r="N49">
        <f>35.562+0.25</f>
        <v>35.811999999999998</v>
      </c>
      <c r="O49">
        <v>42</v>
      </c>
      <c r="P49" t="s">
        <v>43</v>
      </c>
    </row>
    <row r="50" spans="12:16" x14ac:dyDescent="0.25">
      <c r="L50" t="s">
        <v>51</v>
      </c>
      <c r="M50" t="s">
        <v>44</v>
      </c>
      <c r="N50">
        <f>92.875+0.25</f>
        <v>93.125</v>
      </c>
      <c r="O50">
        <v>42</v>
      </c>
      <c r="P50" t="s">
        <v>43</v>
      </c>
    </row>
    <row r="51" spans="12:16" x14ac:dyDescent="0.25">
      <c r="L51" t="s">
        <v>51</v>
      </c>
      <c r="M51" t="s">
        <v>45</v>
      </c>
      <c r="N51">
        <f>35.562+0.25</f>
        <v>35.811999999999998</v>
      </c>
      <c r="O51">
        <v>42</v>
      </c>
      <c r="P51" t="s">
        <v>43</v>
      </c>
    </row>
    <row r="52" spans="12:16" x14ac:dyDescent="0.25">
      <c r="L52" t="s">
        <v>51</v>
      </c>
      <c r="M52" t="s">
        <v>46</v>
      </c>
      <c r="N52">
        <f>92.875+0.25</f>
        <v>93.125</v>
      </c>
      <c r="O52">
        <v>42</v>
      </c>
      <c r="P52" t="s">
        <v>43</v>
      </c>
    </row>
    <row r="54" spans="12:16" x14ac:dyDescent="0.25">
      <c r="L54" t="s">
        <v>52</v>
      </c>
      <c r="M54" t="s">
        <v>41</v>
      </c>
      <c r="N54">
        <f>35.562+0.25</f>
        <v>35.811999999999998</v>
      </c>
      <c r="O54">
        <v>43</v>
      </c>
      <c r="P54" t="s">
        <v>43</v>
      </c>
    </row>
    <row r="55" spans="12:16" x14ac:dyDescent="0.25">
      <c r="L55" t="s">
        <v>52</v>
      </c>
      <c r="M55" t="s">
        <v>44</v>
      </c>
      <c r="N55">
        <f>92.875+0.25</f>
        <v>93.125</v>
      </c>
      <c r="O55">
        <v>43</v>
      </c>
      <c r="P55" t="s">
        <v>43</v>
      </c>
    </row>
    <row r="56" spans="12:16" x14ac:dyDescent="0.25">
      <c r="L56" t="s">
        <v>52</v>
      </c>
      <c r="M56" t="s">
        <v>45</v>
      </c>
      <c r="N56">
        <f>35.562+0.25</f>
        <v>35.811999999999998</v>
      </c>
      <c r="O56">
        <v>43</v>
      </c>
      <c r="P56" t="s">
        <v>43</v>
      </c>
    </row>
    <row r="57" spans="12:16" x14ac:dyDescent="0.25">
      <c r="L57" t="s">
        <v>52</v>
      </c>
      <c r="M57" t="s">
        <v>46</v>
      </c>
      <c r="N57">
        <f>92.875+0.25</f>
        <v>93.125</v>
      </c>
      <c r="O57">
        <v>43</v>
      </c>
      <c r="P57" t="s">
        <v>43</v>
      </c>
    </row>
    <row r="59" spans="12:16" x14ac:dyDescent="0.25">
      <c r="L59" t="s">
        <v>53</v>
      </c>
      <c r="M59" t="s">
        <v>41</v>
      </c>
      <c r="N59">
        <f>35.562+0.25</f>
        <v>35.811999999999998</v>
      </c>
      <c r="O59">
        <v>44</v>
      </c>
      <c r="P59" t="s">
        <v>43</v>
      </c>
    </row>
    <row r="60" spans="12:16" x14ac:dyDescent="0.25">
      <c r="L60" t="s">
        <v>53</v>
      </c>
      <c r="M60" t="s">
        <v>44</v>
      </c>
      <c r="N60">
        <f>92.875+0.25</f>
        <v>93.125</v>
      </c>
      <c r="O60">
        <v>44</v>
      </c>
      <c r="P60" t="s">
        <v>43</v>
      </c>
    </row>
    <row r="61" spans="12:16" x14ac:dyDescent="0.25">
      <c r="L61" t="s">
        <v>53</v>
      </c>
      <c r="M61" t="s">
        <v>45</v>
      </c>
      <c r="N61">
        <f>35.562+0.25</f>
        <v>35.811999999999998</v>
      </c>
      <c r="O61">
        <v>44</v>
      </c>
      <c r="P61" t="s">
        <v>43</v>
      </c>
    </row>
    <row r="62" spans="12:16" x14ac:dyDescent="0.25">
      <c r="L62" t="s">
        <v>53</v>
      </c>
      <c r="M62" t="s">
        <v>46</v>
      </c>
      <c r="N62">
        <f>92.875+0.25</f>
        <v>93.125</v>
      </c>
      <c r="O62">
        <v>44</v>
      </c>
      <c r="P62" t="s">
        <v>43</v>
      </c>
    </row>
    <row r="64" spans="12:16" x14ac:dyDescent="0.25">
      <c r="L64" t="s">
        <v>54</v>
      </c>
      <c r="M64" t="s">
        <v>41</v>
      </c>
      <c r="N64">
        <f>35.562+0.25</f>
        <v>35.811999999999998</v>
      </c>
      <c r="O64">
        <v>45</v>
      </c>
      <c r="P64" t="s">
        <v>43</v>
      </c>
    </row>
    <row r="65" spans="12:16" x14ac:dyDescent="0.25">
      <c r="L65" t="s">
        <v>54</v>
      </c>
      <c r="M65" t="s">
        <v>44</v>
      </c>
      <c r="N65">
        <f>92.875+0.25</f>
        <v>93.125</v>
      </c>
      <c r="O65">
        <v>45</v>
      </c>
      <c r="P65" t="s">
        <v>43</v>
      </c>
    </row>
    <row r="66" spans="12:16" x14ac:dyDescent="0.25">
      <c r="L66" t="s">
        <v>54</v>
      </c>
      <c r="M66" t="s">
        <v>45</v>
      </c>
      <c r="N66">
        <f>35.562+0.25</f>
        <v>35.811999999999998</v>
      </c>
      <c r="O66">
        <v>45</v>
      </c>
      <c r="P66" t="s">
        <v>43</v>
      </c>
    </row>
    <row r="67" spans="12:16" x14ac:dyDescent="0.25">
      <c r="L67" t="s">
        <v>54</v>
      </c>
      <c r="M67" t="s">
        <v>46</v>
      </c>
      <c r="N67">
        <f>92.875+0.25</f>
        <v>93.125</v>
      </c>
      <c r="O67">
        <v>45</v>
      </c>
      <c r="P67" t="s">
        <v>43</v>
      </c>
    </row>
    <row r="69" spans="12:16" x14ac:dyDescent="0.25">
      <c r="L69" t="s">
        <v>55</v>
      </c>
      <c r="M69" t="s">
        <v>41</v>
      </c>
      <c r="N69">
        <f>35.562+0.25</f>
        <v>35.811999999999998</v>
      </c>
      <c r="O69">
        <v>46</v>
      </c>
      <c r="P69" t="s">
        <v>43</v>
      </c>
    </row>
    <row r="70" spans="12:16" x14ac:dyDescent="0.25">
      <c r="L70" t="s">
        <v>55</v>
      </c>
      <c r="M70" t="s">
        <v>44</v>
      </c>
      <c r="N70">
        <f>92.875+0.25</f>
        <v>93.125</v>
      </c>
      <c r="O70">
        <v>46</v>
      </c>
      <c r="P70" t="s">
        <v>43</v>
      </c>
    </row>
    <row r="71" spans="12:16" x14ac:dyDescent="0.25">
      <c r="L71" t="s">
        <v>55</v>
      </c>
      <c r="M71" t="s">
        <v>45</v>
      </c>
      <c r="N71">
        <f>35.562+0.25</f>
        <v>35.811999999999998</v>
      </c>
      <c r="O71">
        <v>46</v>
      </c>
      <c r="P71" t="s">
        <v>43</v>
      </c>
    </row>
    <row r="72" spans="12:16" x14ac:dyDescent="0.25">
      <c r="L72" t="s">
        <v>55</v>
      </c>
      <c r="M72" t="s">
        <v>46</v>
      </c>
      <c r="N72">
        <f>92.875+0.25</f>
        <v>93.125</v>
      </c>
      <c r="O72">
        <v>46</v>
      </c>
      <c r="P72" t="s">
        <v>43</v>
      </c>
    </row>
    <row r="74" spans="12:16" x14ac:dyDescent="0.25">
      <c r="L74" t="s">
        <v>56</v>
      </c>
      <c r="M74" t="s">
        <v>41</v>
      </c>
      <c r="N74">
        <f>35.562+0.25</f>
        <v>35.811999999999998</v>
      </c>
      <c r="O74">
        <v>47</v>
      </c>
      <c r="P74" t="s">
        <v>43</v>
      </c>
    </row>
    <row r="75" spans="12:16" x14ac:dyDescent="0.25">
      <c r="L75" t="s">
        <v>56</v>
      </c>
      <c r="M75" t="s">
        <v>44</v>
      </c>
      <c r="N75">
        <f>92.875+0.25</f>
        <v>93.125</v>
      </c>
      <c r="O75">
        <v>47</v>
      </c>
      <c r="P75" t="s">
        <v>43</v>
      </c>
    </row>
    <row r="76" spans="12:16" x14ac:dyDescent="0.25">
      <c r="L76" t="s">
        <v>56</v>
      </c>
      <c r="M76" t="s">
        <v>45</v>
      </c>
      <c r="N76">
        <f>35.562+0.25</f>
        <v>35.811999999999998</v>
      </c>
      <c r="O76">
        <v>47</v>
      </c>
      <c r="P76" t="s">
        <v>43</v>
      </c>
    </row>
    <row r="77" spans="12:16" x14ac:dyDescent="0.25">
      <c r="L77" t="s">
        <v>56</v>
      </c>
      <c r="M77" t="s">
        <v>46</v>
      </c>
      <c r="N77">
        <f>92.875+0.25</f>
        <v>93.125</v>
      </c>
      <c r="O77">
        <v>47</v>
      </c>
      <c r="P77" t="s">
        <v>43</v>
      </c>
    </row>
    <row r="79" spans="12:16" x14ac:dyDescent="0.25">
      <c r="L79" s="1" t="s">
        <v>57</v>
      </c>
      <c r="M79" s="1" t="s">
        <v>41</v>
      </c>
      <c r="N79" s="1">
        <f>35.562+0.25</f>
        <v>35.811999999999998</v>
      </c>
      <c r="O79" s="1">
        <v>49</v>
      </c>
      <c r="P79" s="1" t="s">
        <v>26</v>
      </c>
    </row>
    <row r="80" spans="12:16" x14ac:dyDescent="0.25">
      <c r="L80" s="4" t="s">
        <v>57</v>
      </c>
      <c r="M80" s="4" t="s">
        <v>44</v>
      </c>
      <c r="N80" s="4">
        <f>76.875+0.25</f>
        <v>77.125</v>
      </c>
      <c r="O80" s="4">
        <v>49</v>
      </c>
      <c r="P80" s="4" t="s">
        <v>26</v>
      </c>
    </row>
    <row r="81" spans="12:16" x14ac:dyDescent="0.25">
      <c r="L81" s="3" t="s">
        <v>57</v>
      </c>
      <c r="M81" s="3" t="s">
        <v>45</v>
      </c>
      <c r="N81" s="3">
        <f>35.562+0.25</f>
        <v>35.811999999999998</v>
      </c>
      <c r="O81" s="3">
        <v>49</v>
      </c>
      <c r="P81" s="3" t="s">
        <v>26</v>
      </c>
    </row>
    <row r="82" spans="12:16" x14ac:dyDescent="0.25">
      <c r="L82" s="4" t="s">
        <v>57</v>
      </c>
      <c r="M82" s="4" t="s">
        <v>46</v>
      </c>
      <c r="N82" s="4">
        <f>76.875+0.25</f>
        <v>77.125</v>
      </c>
      <c r="O82" s="4">
        <v>49</v>
      </c>
      <c r="P82" s="4" t="s">
        <v>26</v>
      </c>
    </row>
    <row r="84" spans="12:16" x14ac:dyDescent="0.25">
      <c r="L84" t="s">
        <v>58</v>
      </c>
      <c r="M84" t="s">
        <v>41</v>
      </c>
      <c r="N84">
        <f>35.562+0.25</f>
        <v>35.811999999999998</v>
      </c>
      <c r="O84">
        <v>51</v>
      </c>
      <c r="P84" t="s">
        <v>26</v>
      </c>
    </row>
    <row r="85" spans="12:16" x14ac:dyDescent="0.25">
      <c r="L85" t="s">
        <v>58</v>
      </c>
      <c r="M85" t="s">
        <v>44</v>
      </c>
      <c r="N85">
        <f>92.875+0.25</f>
        <v>93.125</v>
      </c>
      <c r="O85">
        <v>51</v>
      </c>
      <c r="P85" t="s">
        <v>26</v>
      </c>
    </row>
    <row r="86" spans="12:16" x14ac:dyDescent="0.25">
      <c r="L86" t="s">
        <v>58</v>
      </c>
      <c r="M86" t="s">
        <v>45</v>
      </c>
      <c r="N86">
        <f>35.562+0.25</f>
        <v>35.811999999999998</v>
      </c>
      <c r="O86">
        <v>51</v>
      </c>
      <c r="P86" t="s">
        <v>26</v>
      </c>
    </row>
    <row r="87" spans="12:16" x14ac:dyDescent="0.25">
      <c r="L87" t="s">
        <v>58</v>
      </c>
      <c r="M87" t="s">
        <v>46</v>
      </c>
      <c r="N87">
        <f>92.875+0.25</f>
        <v>93.125</v>
      </c>
      <c r="O87">
        <v>51</v>
      </c>
      <c r="P87" t="s">
        <v>26</v>
      </c>
    </row>
  </sheetData>
  <mergeCells count="14">
    <mergeCell ref="S4:V4"/>
    <mergeCell ref="S9:V9"/>
    <mergeCell ref="S13:V13"/>
    <mergeCell ref="S18:V18"/>
    <mergeCell ref="AI21:AL21"/>
    <mergeCell ref="AI4:AL4"/>
    <mergeCell ref="AI9:AL9"/>
    <mergeCell ref="AI15:AL15"/>
    <mergeCell ref="AA23:AD23"/>
    <mergeCell ref="AA27:AD27"/>
    <mergeCell ref="AA4:AD4"/>
    <mergeCell ref="AA9:AD9"/>
    <mergeCell ref="AA13:AD13"/>
    <mergeCell ref="AA18:AD18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E5DC-31CE-41A6-ACA8-E2C9E617124A}">
  <dimension ref="B1:BA87"/>
  <sheetViews>
    <sheetView topLeftCell="R1" workbookViewId="0">
      <selection activeCell="AH31" sqref="AH31"/>
    </sheetView>
  </sheetViews>
  <sheetFormatPr defaultRowHeight="15" x14ac:dyDescent="0.25"/>
  <cols>
    <col min="1" max="1" width="0" hidden="1" customWidth="1"/>
    <col min="2" max="2" width="18.5703125" hidden="1" customWidth="1"/>
    <col min="3" max="4" width="0" hidden="1" customWidth="1"/>
    <col min="5" max="5" width="13.140625" hidden="1" customWidth="1"/>
    <col min="6" max="11" width="0" hidden="1" customWidth="1"/>
    <col min="12" max="12" width="15.140625" hidden="1" customWidth="1"/>
    <col min="13" max="13" width="17.7109375" hidden="1" customWidth="1"/>
    <col min="14" max="16" width="0" hidden="1" customWidth="1"/>
    <col min="17" max="17" width="5.42578125" hidden="1" customWidth="1"/>
    <col min="18" max="18" width="15.140625" customWidth="1"/>
    <col min="19" max="21" width="9.140625" customWidth="1"/>
    <col min="22" max="22" width="11.42578125" customWidth="1"/>
    <col min="23" max="25" width="9.140625" customWidth="1"/>
    <col min="26" max="26" width="14.85546875" hidden="1" customWidth="1"/>
    <col min="27" max="29" width="9.140625" hidden="1" customWidth="1"/>
    <col min="30" max="30" width="20.28515625" hidden="1" customWidth="1"/>
    <col min="31" max="31" width="9.140625" hidden="1" customWidth="1"/>
    <col min="32" max="32" width="9.140625" customWidth="1"/>
    <col min="33" max="33" width="4.7109375" customWidth="1"/>
    <col min="34" max="34" width="15.85546875" customWidth="1"/>
    <col min="38" max="38" width="13.7109375" customWidth="1"/>
    <col min="39" max="39" width="6.28515625" customWidth="1"/>
    <col min="43" max="43" width="10.7109375" customWidth="1"/>
    <col min="44" max="44" width="27.5703125" customWidth="1"/>
  </cols>
  <sheetData>
    <row r="1" spans="2:53" x14ac:dyDescent="0.25">
      <c r="AH1" t="s">
        <v>86</v>
      </c>
      <c r="AJ1" t="s">
        <v>87</v>
      </c>
      <c r="AL1" t="s">
        <v>89</v>
      </c>
      <c r="AO1" t="s">
        <v>88</v>
      </c>
      <c r="AT1" t="s">
        <v>86</v>
      </c>
      <c r="AV1" t="s">
        <v>87</v>
      </c>
      <c r="AX1" t="s">
        <v>89</v>
      </c>
      <c r="BA1" t="s">
        <v>88</v>
      </c>
    </row>
    <row r="2" spans="2:53" x14ac:dyDescent="0.25">
      <c r="B2" t="s">
        <v>21</v>
      </c>
      <c r="C2" t="s">
        <v>22</v>
      </c>
      <c r="E2" t="s">
        <v>23</v>
      </c>
      <c r="F2" t="s">
        <v>25</v>
      </c>
      <c r="G2" t="s">
        <v>30</v>
      </c>
      <c r="H2" t="s">
        <v>31</v>
      </c>
      <c r="I2" t="s">
        <v>35</v>
      </c>
      <c r="R2" s="2" t="s">
        <v>59</v>
      </c>
      <c r="S2" s="22" t="s">
        <v>60</v>
      </c>
      <c r="T2" s="22"/>
      <c r="U2" s="22"/>
      <c r="V2" s="22"/>
      <c r="W2" s="2" t="s">
        <v>26</v>
      </c>
      <c r="Y2" s="9"/>
      <c r="AH2">
        <v>192</v>
      </c>
      <c r="AJ2">
        <v>4.5</v>
      </c>
      <c r="AL2">
        <v>1</v>
      </c>
      <c r="AO2">
        <v>3</v>
      </c>
      <c r="AT2">
        <v>157</v>
      </c>
      <c r="AV2">
        <v>1</v>
      </c>
      <c r="AX2">
        <v>2</v>
      </c>
      <c r="BA2">
        <v>3</v>
      </c>
    </row>
    <row r="3" spans="2:53" x14ac:dyDescent="0.25">
      <c r="B3" s="1">
        <v>5114589</v>
      </c>
      <c r="C3" s="1">
        <v>1.0009999999999999</v>
      </c>
      <c r="D3" s="1">
        <v>1</v>
      </c>
      <c r="E3" s="1" t="s">
        <v>24</v>
      </c>
      <c r="F3" s="1" t="s">
        <v>26</v>
      </c>
      <c r="G3" s="1">
        <f>35.562+0.25</f>
        <v>35.811999999999998</v>
      </c>
      <c r="H3" s="1">
        <f>76.875+0.25</f>
        <v>77.125</v>
      </c>
      <c r="I3">
        <v>1</v>
      </c>
      <c r="L3" t="s">
        <v>32</v>
      </c>
      <c r="M3" t="s">
        <v>33</v>
      </c>
      <c r="N3" t="s">
        <v>34</v>
      </c>
      <c r="O3" t="s">
        <v>35</v>
      </c>
      <c r="P3" t="s">
        <v>25</v>
      </c>
      <c r="R3" s="2" t="s">
        <v>32</v>
      </c>
      <c r="S3" s="2" t="s">
        <v>34</v>
      </c>
      <c r="T3" s="2" t="s">
        <v>35</v>
      </c>
      <c r="V3" s="2" t="s">
        <v>32</v>
      </c>
      <c r="W3" s="2" t="s">
        <v>34</v>
      </c>
      <c r="X3" s="2" t="s">
        <v>35</v>
      </c>
      <c r="Y3" s="9"/>
    </row>
    <row r="4" spans="2:53" x14ac:dyDescent="0.25">
      <c r="B4" s="1">
        <v>5106483</v>
      </c>
      <c r="C4" s="1">
        <v>1</v>
      </c>
      <c r="D4" s="1">
        <v>1</v>
      </c>
      <c r="E4" s="1" t="s">
        <v>27</v>
      </c>
      <c r="F4" s="1" t="s">
        <v>28</v>
      </c>
      <c r="G4" s="1">
        <f>35.562+0.25</f>
        <v>35.811999999999998</v>
      </c>
      <c r="H4" s="1">
        <f>92.875+0.25</f>
        <v>93.125</v>
      </c>
      <c r="I4">
        <v>2</v>
      </c>
      <c r="L4" s="1" t="s">
        <v>36</v>
      </c>
      <c r="M4" s="1" t="s">
        <v>41</v>
      </c>
      <c r="N4" s="1">
        <f>35.562+0.25</f>
        <v>35.811999999999998</v>
      </c>
      <c r="O4" s="1">
        <v>1</v>
      </c>
      <c r="P4" s="1" t="s">
        <v>26</v>
      </c>
      <c r="R4" s="10" t="s">
        <v>36</v>
      </c>
      <c r="S4" s="10">
        <f>35.562+0.25</f>
        <v>35.811999999999998</v>
      </c>
      <c r="T4" s="10">
        <v>1</v>
      </c>
      <c r="U4" s="10"/>
      <c r="V4" s="10" t="s">
        <v>57</v>
      </c>
      <c r="W4" s="10">
        <f>35.562+0.25</f>
        <v>35.811999999999998</v>
      </c>
      <c r="X4" s="10">
        <v>49</v>
      </c>
      <c r="Y4" s="9"/>
      <c r="Z4" s="7" t="s">
        <v>71</v>
      </c>
      <c r="AA4" s="23" t="s">
        <v>67</v>
      </c>
      <c r="AB4" s="23"/>
      <c r="AC4" s="23"/>
      <c r="AD4" s="23"/>
      <c r="AE4" s="7" t="s">
        <v>28</v>
      </c>
      <c r="AF4" s="2"/>
    </row>
    <row r="5" spans="2:53" x14ac:dyDescent="0.25">
      <c r="B5" s="1">
        <v>5109096</v>
      </c>
      <c r="C5" s="1">
        <v>1</v>
      </c>
      <c r="D5" s="1">
        <v>1</v>
      </c>
      <c r="E5" s="1" t="s">
        <v>27</v>
      </c>
      <c r="F5" s="1" t="s">
        <v>29</v>
      </c>
      <c r="G5" s="1">
        <f>35.562+0.25</f>
        <v>35.811999999999998</v>
      </c>
      <c r="H5" s="1">
        <f>92.875+0.25</f>
        <v>93.125</v>
      </c>
      <c r="I5">
        <v>3</v>
      </c>
      <c r="L5" s="4" t="s">
        <v>36</v>
      </c>
      <c r="M5" s="4" t="s">
        <v>44</v>
      </c>
      <c r="N5" s="4">
        <f>76.875+0.25</f>
        <v>77.125</v>
      </c>
      <c r="O5" s="4">
        <v>1</v>
      </c>
      <c r="P5" s="4" t="s">
        <v>26</v>
      </c>
      <c r="V5" s="22" t="s">
        <v>78</v>
      </c>
      <c r="W5" s="22"/>
      <c r="X5" s="22"/>
      <c r="Y5">
        <v>49</v>
      </c>
      <c r="Z5" s="7" t="s">
        <v>32</v>
      </c>
      <c r="AA5" s="7" t="s">
        <v>34</v>
      </c>
      <c r="AB5" s="7" t="s">
        <v>35</v>
      </c>
      <c r="AC5" s="6"/>
      <c r="AD5" s="7"/>
      <c r="AE5" s="7"/>
      <c r="AF5" s="2"/>
      <c r="AG5" s="2"/>
      <c r="AI5" s="11" t="s">
        <v>79</v>
      </c>
      <c r="AJ5" s="21" t="s">
        <v>80</v>
      </c>
      <c r="AK5" s="21"/>
      <c r="AL5" s="12" t="s">
        <v>81</v>
      </c>
      <c r="AM5" s="12"/>
      <c r="AN5" s="21" t="s">
        <v>82</v>
      </c>
      <c r="AO5" s="21"/>
      <c r="AP5" s="12" t="s">
        <v>83</v>
      </c>
      <c r="AQ5" s="12" t="s">
        <v>84</v>
      </c>
      <c r="AR5" s="13" t="s">
        <v>85</v>
      </c>
      <c r="AS5" s="9"/>
    </row>
    <row r="6" spans="2:53" x14ac:dyDescent="0.25">
      <c r="B6" s="1">
        <v>5091872</v>
      </c>
      <c r="C6" s="1">
        <v>1</v>
      </c>
      <c r="D6" s="1">
        <v>1</v>
      </c>
      <c r="E6" s="1" t="s">
        <v>27</v>
      </c>
      <c r="F6" s="1" t="s">
        <v>29</v>
      </c>
      <c r="G6" s="1">
        <f t="shared" ref="G6:G36" si="0">35.562+0.25</f>
        <v>35.811999999999998</v>
      </c>
      <c r="H6" s="1">
        <f t="shared" ref="H6:H36" si="1">92.875+0.25</f>
        <v>93.125</v>
      </c>
      <c r="I6" s="1">
        <v>4</v>
      </c>
      <c r="L6" s="3" t="s">
        <v>36</v>
      </c>
      <c r="M6" s="3" t="s">
        <v>45</v>
      </c>
      <c r="N6" s="3">
        <f>35.562+0.25</f>
        <v>35.811999999999998</v>
      </c>
      <c r="O6" s="3">
        <v>1</v>
      </c>
      <c r="P6" s="3" t="s">
        <v>26</v>
      </c>
      <c r="Z6" s="6" t="s">
        <v>37</v>
      </c>
      <c r="AA6" s="6">
        <f>35.562+0.25</f>
        <v>35.811999999999998</v>
      </c>
      <c r="AB6" s="6">
        <v>2</v>
      </c>
      <c r="AC6" s="6"/>
      <c r="AD6" s="6"/>
      <c r="AE6" s="6"/>
      <c r="AI6" s="14"/>
      <c r="AR6" s="15">
        <f>$AH$2-$AJ$2-$AL$2</f>
        <v>186.5</v>
      </c>
      <c r="AS6" s="9"/>
    </row>
    <row r="7" spans="2:53" x14ac:dyDescent="0.25">
      <c r="B7" s="1">
        <v>5091872</v>
      </c>
      <c r="C7" s="1">
        <v>1</v>
      </c>
      <c r="D7" s="1">
        <v>2</v>
      </c>
      <c r="E7" s="1" t="s">
        <v>27</v>
      </c>
      <c r="F7" s="1" t="s">
        <v>29</v>
      </c>
      <c r="G7" s="1">
        <f t="shared" si="0"/>
        <v>35.811999999999998</v>
      </c>
      <c r="H7" s="1">
        <f t="shared" si="1"/>
        <v>93.125</v>
      </c>
      <c r="I7" s="1">
        <v>5</v>
      </c>
      <c r="L7" s="4" t="s">
        <v>36</v>
      </c>
      <c r="M7" s="4" t="s">
        <v>46</v>
      </c>
      <c r="N7" s="4">
        <f>76.875+0.25</f>
        <v>77.125</v>
      </c>
      <c r="O7" s="4">
        <v>1</v>
      </c>
      <c r="P7" s="4" t="s">
        <v>26</v>
      </c>
      <c r="AI7" s="16" t="s">
        <v>59</v>
      </c>
      <c r="AJ7" s="22" t="s">
        <v>36</v>
      </c>
      <c r="AK7" s="22"/>
      <c r="AL7">
        <v>1</v>
      </c>
      <c r="AN7" s="22" t="s">
        <v>57</v>
      </c>
      <c r="AO7" s="22"/>
      <c r="AP7">
        <v>49</v>
      </c>
      <c r="AQ7">
        <f>35.562+0.25</f>
        <v>35.811999999999998</v>
      </c>
      <c r="AR7" s="15">
        <f>AR6-AQ7-$AL$2</f>
        <v>149.68799999999999</v>
      </c>
      <c r="AS7" s="9"/>
    </row>
    <row r="8" spans="2:53" x14ac:dyDescent="0.25">
      <c r="B8" s="1">
        <v>5091872</v>
      </c>
      <c r="C8" s="1">
        <v>1</v>
      </c>
      <c r="D8" s="1">
        <v>3</v>
      </c>
      <c r="E8" s="1" t="s">
        <v>27</v>
      </c>
      <c r="F8" s="1" t="s">
        <v>29</v>
      </c>
      <c r="G8" s="1">
        <f t="shared" si="0"/>
        <v>35.811999999999998</v>
      </c>
      <c r="H8" s="1">
        <f t="shared" si="1"/>
        <v>93.125</v>
      </c>
      <c r="I8" s="1">
        <v>6</v>
      </c>
      <c r="R8" s="2" t="s">
        <v>61</v>
      </c>
      <c r="S8" s="22" t="s">
        <v>62</v>
      </c>
      <c r="T8" s="22"/>
      <c r="U8" s="22"/>
      <c r="V8" s="22"/>
      <c r="W8" s="2" t="s">
        <v>26</v>
      </c>
      <c r="Y8" s="9"/>
      <c r="AI8" s="17" t="s">
        <v>61</v>
      </c>
      <c r="AJ8" s="20" t="s">
        <v>36</v>
      </c>
      <c r="AK8" s="20"/>
      <c r="AL8" s="18">
        <v>1</v>
      </c>
      <c r="AM8" s="18"/>
      <c r="AN8" s="20" t="s">
        <v>57</v>
      </c>
      <c r="AO8" s="20"/>
      <c r="AP8" s="18">
        <v>49</v>
      </c>
      <c r="AQ8" s="18">
        <f>35.562+0.25</f>
        <v>35.811999999999998</v>
      </c>
      <c r="AR8" s="19">
        <f>AR7-AQ8-$AL$2</f>
        <v>112.87599999999999</v>
      </c>
      <c r="AS8" s="9"/>
    </row>
    <row r="9" spans="2:53" x14ac:dyDescent="0.25">
      <c r="B9" s="1">
        <v>5091872</v>
      </c>
      <c r="C9" s="1">
        <v>1</v>
      </c>
      <c r="D9" s="1">
        <v>4</v>
      </c>
      <c r="E9" s="1" t="s">
        <v>27</v>
      </c>
      <c r="F9" s="1" t="s">
        <v>29</v>
      </c>
      <c r="G9" s="1">
        <f t="shared" si="0"/>
        <v>35.811999999999998</v>
      </c>
      <c r="H9" s="1">
        <f t="shared" si="1"/>
        <v>93.125</v>
      </c>
      <c r="I9" s="1">
        <v>7</v>
      </c>
      <c r="L9" s="5" t="s">
        <v>37</v>
      </c>
      <c r="M9" s="5" t="s">
        <v>41</v>
      </c>
      <c r="N9" s="5">
        <f>35.562+0.25</f>
        <v>35.811999999999998</v>
      </c>
      <c r="O9" s="5">
        <v>2</v>
      </c>
      <c r="P9" s="5" t="s">
        <v>28</v>
      </c>
      <c r="R9" s="2" t="s">
        <v>32</v>
      </c>
      <c r="S9" s="2" t="s">
        <v>34</v>
      </c>
      <c r="T9" s="2" t="s">
        <v>35</v>
      </c>
      <c r="V9" s="2" t="s">
        <v>32</v>
      </c>
      <c r="W9" s="2" t="s">
        <v>34</v>
      </c>
      <c r="X9" s="2" t="s">
        <v>35</v>
      </c>
      <c r="Y9" s="9"/>
      <c r="Z9" s="7" t="s">
        <v>20</v>
      </c>
      <c r="AA9" s="23" t="s">
        <v>68</v>
      </c>
      <c r="AB9" s="23"/>
      <c r="AC9" s="23"/>
      <c r="AD9" s="23"/>
      <c r="AE9" s="7" t="s">
        <v>28</v>
      </c>
      <c r="AF9" s="2"/>
    </row>
    <row r="10" spans="2:53" x14ac:dyDescent="0.25">
      <c r="B10">
        <v>5091872</v>
      </c>
      <c r="C10">
        <v>1</v>
      </c>
      <c r="D10">
        <v>5</v>
      </c>
      <c r="E10" t="s">
        <v>27</v>
      </c>
      <c r="F10" t="s">
        <v>29</v>
      </c>
      <c r="G10">
        <f t="shared" si="0"/>
        <v>35.811999999999998</v>
      </c>
      <c r="H10">
        <f t="shared" si="1"/>
        <v>93.125</v>
      </c>
      <c r="I10">
        <v>8</v>
      </c>
      <c r="L10" s="5" t="s">
        <v>37</v>
      </c>
      <c r="M10" s="5" t="s">
        <v>44</v>
      </c>
      <c r="N10" s="5">
        <f>92.875+0.25</f>
        <v>93.125</v>
      </c>
      <c r="O10" s="5">
        <v>2</v>
      </c>
      <c r="P10" s="5" t="s">
        <v>28</v>
      </c>
      <c r="R10" s="10" t="s">
        <v>36</v>
      </c>
      <c r="S10" s="10">
        <f>35.562+0.25</f>
        <v>35.811999999999998</v>
      </c>
      <c r="T10" s="10">
        <v>1</v>
      </c>
      <c r="U10" s="10"/>
      <c r="V10" s="10" t="s">
        <v>57</v>
      </c>
      <c r="W10" s="10">
        <f>35.562+0.25</f>
        <v>35.811999999999998</v>
      </c>
      <c r="X10" s="10">
        <v>49</v>
      </c>
      <c r="Y10" s="9"/>
      <c r="Z10" s="7" t="s">
        <v>32</v>
      </c>
      <c r="AA10" s="7" t="s">
        <v>34</v>
      </c>
      <c r="AB10" s="7" t="s">
        <v>35</v>
      </c>
      <c r="AC10" s="6"/>
      <c r="AD10" s="7"/>
      <c r="AE10" s="7"/>
      <c r="AF10" s="2"/>
      <c r="AG10" s="2"/>
    </row>
    <row r="11" spans="2:53" x14ac:dyDescent="0.25">
      <c r="B11">
        <v>5091872</v>
      </c>
      <c r="C11">
        <v>1</v>
      </c>
      <c r="D11">
        <v>6</v>
      </c>
      <c r="E11" t="s">
        <v>27</v>
      </c>
      <c r="F11" t="s">
        <v>29</v>
      </c>
      <c r="G11">
        <f t="shared" si="0"/>
        <v>35.811999999999998</v>
      </c>
      <c r="H11">
        <f t="shared" si="1"/>
        <v>93.125</v>
      </c>
      <c r="I11">
        <v>9</v>
      </c>
      <c r="L11" s="5" t="s">
        <v>37</v>
      </c>
      <c r="M11" s="5" t="s">
        <v>45</v>
      </c>
      <c r="N11" s="5">
        <f>35.562+0.25</f>
        <v>35.811999999999998</v>
      </c>
      <c r="O11" s="5">
        <v>2</v>
      </c>
      <c r="P11" s="5" t="s">
        <v>28</v>
      </c>
      <c r="V11" s="22" t="s">
        <v>78</v>
      </c>
      <c r="W11" s="22"/>
      <c r="X11" s="22"/>
      <c r="Y11">
        <v>49</v>
      </c>
      <c r="Z11" s="6" t="s">
        <v>37</v>
      </c>
      <c r="AA11" s="6">
        <f>35.562+0.25</f>
        <v>35.811999999999998</v>
      </c>
      <c r="AB11" s="6">
        <v>2</v>
      </c>
      <c r="AC11" s="6"/>
      <c r="AD11" s="6"/>
      <c r="AE11" s="6"/>
      <c r="AI11" s="11" t="s">
        <v>79</v>
      </c>
      <c r="AJ11" s="21" t="s">
        <v>80</v>
      </c>
      <c r="AK11" s="21"/>
      <c r="AL11" s="12" t="s">
        <v>81</v>
      </c>
      <c r="AM11" s="12"/>
      <c r="AN11" s="21" t="s">
        <v>82</v>
      </c>
      <c r="AO11" s="21"/>
      <c r="AP11" s="12" t="s">
        <v>83</v>
      </c>
      <c r="AQ11" s="12" t="s">
        <v>84</v>
      </c>
      <c r="AR11" s="13" t="s">
        <v>85</v>
      </c>
      <c r="AS11" s="9"/>
    </row>
    <row r="12" spans="2:53" x14ac:dyDescent="0.25">
      <c r="B12">
        <v>5091872</v>
      </c>
      <c r="C12">
        <v>1</v>
      </c>
      <c r="D12">
        <v>7</v>
      </c>
      <c r="E12" t="s">
        <v>27</v>
      </c>
      <c r="F12" t="s">
        <v>29</v>
      </c>
      <c r="G12">
        <f t="shared" si="0"/>
        <v>35.811999999999998</v>
      </c>
      <c r="H12">
        <f t="shared" si="1"/>
        <v>93.125</v>
      </c>
      <c r="I12">
        <v>10</v>
      </c>
      <c r="L12" s="5" t="s">
        <v>37</v>
      </c>
      <c r="M12" s="5" t="s">
        <v>46</v>
      </c>
      <c r="N12" s="5">
        <f>92.875+0.25</f>
        <v>93.125</v>
      </c>
      <c r="O12" s="5">
        <v>2</v>
      </c>
      <c r="P12" s="5" t="s">
        <v>28</v>
      </c>
      <c r="AI12" s="14"/>
      <c r="AR12" s="15">
        <f>$AH$2-$AJ$2-$AL$2</f>
        <v>186.5</v>
      </c>
      <c r="AS12" s="9"/>
    </row>
    <row r="13" spans="2:53" x14ac:dyDescent="0.25">
      <c r="B13">
        <v>5091872</v>
      </c>
      <c r="C13">
        <v>1</v>
      </c>
      <c r="D13">
        <v>8</v>
      </c>
      <c r="E13" t="s">
        <v>27</v>
      </c>
      <c r="F13" t="s">
        <v>29</v>
      </c>
      <c r="G13">
        <f t="shared" si="0"/>
        <v>35.811999999999998</v>
      </c>
      <c r="H13">
        <f t="shared" si="1"/>
        <v>93.125</v>
      </c>
      <c r="I13">
        <v>11</v>
      </c>
      <c r="Z13" s="7" t="s">
        <v>72</v>
      </c>
      <c r="AA13" s="23" t="s">
        <v>69</v>
      </c>
      <c r="AB13" s="23"/>
      <c r="AC13" s="23"/>
      <c r="AD13" s="23"/>
      <c r="AE13" s="7" t="s">
        <v>28</v>
      </c>
      <c r="AF13" s="2"/>
      <c r="AI13" s="17" t="s">
        <v>63</v>
      </c>
      <c r="AJ13" s="20" t="s">
        <v>36</v>
      </c>
      <c r="AK13" s="20"/>
      <c r="AL13" s="18">
        <v>1</v>
      </c>
      <c r="AM13" s="18"/>
      <c r="AN13" s="20" t="s">
        <v>57</v>
      </c>
      <c r="AO13" s="20"/>
      <c r="AP13" s="18">
        <v>49</v>
      </c>
      <c r="AQ13" s="18">
        <f>76.875+0.25</f>
        <v>77.125</v>
      </c>
      <c r="AR13" s="19">
        <f>AR12-AQ13-$AL$2</f>
        <v>108.375</v>
      </c>
      <c r="AS13" s="9"/>
    </row>
    <row r="14" spans="2:53" x14ac:dyDescent="0.25">
      <c r="B14">
        <v>5091872</v>
      </c>
      <c r="C14">
        <v>1</v>
      </c>
      <c r="D14">
        <v>9</v>
      </c>
      <c r="E14" t="s">
        <v>27</v>
      </c>
      <c r="F14" t="s">
        <v>29</v>
      </c>
      <c r="G14">
        <f t="shared" si="0"/>
        <v>35.811999999999998</v>
      </c>
      <c r="H14">
        <f t="shared" si="1"/>
        <v>93.125</v>
      </c>
      <c r="I14">
        <v>12</v>
      </c>
      <c r="L14" s="5" t="s">
        <v>38</v>
      </c>
      <c r="M14" s="5" t="s">
        <v>41</v>
      </c>
      <c r="N14" s="5">
        <f>35.562+0.25</f>
        <v>35.811999999999998</v>
      </c>
      <c r="O14" s="5">
        <v>3</v>
      </c>
      <c r="P14" s="5" t="s">
        <v>29</v>
      </c>
      <c r="R14" s="2" t="s">
        <v>63</v>
      </c>
      <c r="S14" s="22" t="s">
        <v>64</v>
      </c>
      <c r="T14" s="22"/>
      <c r="U14" s="22"/>
      <c r="V14" s="22"/>
      <c r="W14" s="2" t="s">
        <v>26</v>
      </c>
      <c r="Y14" s="9"/>
      <c r="Z14" s="7" t="s">
        <v>32</v>
      </c>
      <c r="AA14" s="7" t="s">
        <v>34</v>
      </c>
      <c r="AB14" s="7" t="s">
        <v>35</v>
      </c>
      <c r="AC14" s="6"/>
      <c r="AD14" s="7"/>
      <c r="AE14" s="7"/>
      <c r="AF14" s="2"/>
      <c r="AG14" s="2"/>
      <c r="AI14" s="2"/>
      <c r="AJ14" s="22"/>
      <c r="AK14" s="22"/>
      <c r="AN14" s="22"/>
      <c r="AO14" s="22"/>
    </row>
    <row r="15" spans="2:53" x14ac:dyDescent="0.25">
      <c r="B15">
        <v>5091872</v>
      </c>
      <c r="C15">
        <v>1</v>
      </c>
      <c r="D15">
        <v>10</v>
      </c>
      <c r="E15" t="s">
        <v>27</v>
      </c>
      <c r="F15" t="s">
        <v>29</v>
      </c>
      <c r="G15">
        <f t="shared" si="0"/>
        <v>35.811999999999998</v>
      </c>
      <c r="H15">
        <f t="shared" si="1"/>
        <v>93.125</v>
      </c>
      <c r="I15">
        <v>13</v>
      </c>
      <c r="L15" s="5" t="s">
        <v>38</v>
      </c>
      <c r="M15" s="5" t="s">
        <v>44</v>
      </c>
      <c r="N15" s="5">
        <f>92.875+0.25</f>
        <v>93.125</v>
      </c>
      <c r="O15" s="5">
        <v>3</v>
      </c>
      <c r="P15" s="5" t="s">
        <v>29</v>
      </c>
      <c r="R15" s="2" t="s">
        <v>32</v>
      </c>
      <c r="S15" s="2" t="s">
        <v>34</v>
      </c>
      <c r="T15" s="2" t="s">
        <v>35</v>
      </c>
      <c r="V15" s="2" t="s">
        <v>32</v>
      </c>
      <c r="W15" s="2" t="s">
        <v>34</v>
      </c>
      <c r="X15" s="2" t="s">
        <v>35</v>
      </c>
      <c r="Y15" s="9"/>
      <c r="Z15" s="6" t="s">
        <v>37</v>
      </c>
      <c r="AA15" s="6">
        <f>92.875+0.25</f>
        <v>93.125</v>
      </c>
      <c r="AB15" s="6">
        <v>2</v>
      </c>
      <c r="AC15" s="6"/>
      <c r="AD15" s="6"/>
      <c r="AE15" s="6"/>
    </row>
    <row r="16" spans="2:53" x14ac:dyDescent="0.25">
      <c r="B16">
        <v>5091872</v>
      </c>
      <c r="C16">
        <v>1</v>
      </c>
      <c r="D16">
        <v>11</v>
      </c>
      <c r="E16" t="s">
        <v>27</v>
      </c>
      <c r="F16" t="s">
        <v>29</v>
      </c>
      <c r="G16">
        <f t="shared" si="0"/>
        <v>35.811999999999998</v>
      </c>
      <c r="H16">
        <f t="shared" si="1"/>
        <v>93.125</v>
      </c>
      <c r="I16">
        <v>14</v>
      </c>
      <c r="L16" s="5" t="s">
        <v>38</v>
      </c>
      <c r="M16" s="5" t="s">
        <v>45</v>
      </c>
      <c r="N16" s="5">
        <f>35.562+0.25</f>
        <v>35.811999999999998</v>
      </c>
      <c r="O16" s="5">
        <v>3</v>
      </c>
      <c r="P16" s="5" t="s">
        <v>29</v>
      </c>
      <c r="R16" s="10" t="s">
        <v>36</v>
      </c>
      <c r="S16" s="10">
        <f>76.875+0.25</f>
        <v>77.125</v>
      </c>
      <c r="T16" s="10">
        <v>1</v>
      </c>
      <c r="U16" s="10"/>
      <c r="V16" s="10" t="s">
        <v>57</v>
      </c>
      <c r="W16" s="10">
        <f>76.875+0.25</f>
        <v>77.125</v>
      </c>
      <c r="X16" s="10">
        <v>49</v>
      </c>
      <c r="Y16" s="9"/>
      <c r="AI16" s="11" t="s">
        <v>79</v>
      </c>
      <c r="AJ16" s="21" t="s">
        <v>80</v>
      </c>
      <c r="AK16" s="21"/>
      <c r="AL16" s="12" t="s">
        <v>81</v>
      </c>
      <c r="AM16" s="12"/>
      <c r="AN16" s="21" t="s">
        <v>82</v>
      </c>
      <c r="AO16" s="21"/>
      <c r="AP16" s="12" t="s">
        <v>83</v>
      </c>
      <c r="AQ16" s="12" t="s">
        <v>84</v>
      </c>
      <c r="AR16" s="13" t="s">
        <v>85</v>
      </c>
      <c r="AS16" s="9"/>
    </row>
    <row r="17" spans="2:45" x14ac:dyDescent="0.25">
      <c r="B17">
        <v>5091872</v>
      </c>
      <c r="C17">
        <v>1</v>
      </c>
      <c r="D17">
        <v>12</v>
      </c>
      <c r="E17" t="s">
        <v>27</v>
      </c>
      <c r="F17" t="s">
        <v>29</v>
      </c>
      <c r="G17">
        <f t="shared" si="0"/>
        <v>35.811999999999998</v>
      </c>
      <c r="H17">
        <f t="shared" si="1"/>
        <v>93.125</v>
      </c>
      <c r="I17">
        <v>15</v>
      </c>
      <c r="L17" s="5" t="s">
        <v>38</v>
      </c>
      <c r="M17" s="5" t="s">
        <v>46</v>
      </c>
      <c r="N17" s="5">
        <f>92.875+0.25</f>
        <v>93.125</v>
      </c>
      <c r="O17" s="5">
        <v>3</v>
      </c>
      <c r="P17" s="5" t="s">
        <v>29</v>
      </c>
      <c r="V17" s="22" t="s">
        <v>78</v>
      </c>
      <c r="W17" s="22"/>
      <c r="X17" s="22"/>
      <c r="Y17">
        <v>49</v>
      </c>
      <c r="AI17" s="14"/>
      <c r="AR17" s="15">
        <f>$AH$2-$AJ$2-$AL$2</f>
        <v>186.5</v>
      </c>
      <c r="AS17" s="9"/>
    </row>
    <row r="18" spans="2:45" x14ac:dyDescent="0.25">
      <c r="B18">
        <v>5091872</v>
      </c>
      <c r="C18">
        <v>1</v>
      </c>
      <c r="D18">
        <v>13</v>
      </c>
      <c r="E18" t="s">
        <v>27</v>
      </c>
      <c r="F18" t="s">
        <v>29</v>
      </c>
      <c r="G18">
        <f t="shared" si="0"/>
        <v>35.811999999999998</v>
      </c>
      <c r="H18">
        <f t="shared" si="1"/>
        <v>93.125</v>
      </c>
      <c r="I18">
        <v>16</v>
      </c>
      <c r="Z18" s="7" t="s">
        <v>73</v>
      </c>
      <c r="AA18" s="23" t="s">
        <v>70</v>
      </c>
      <c r="AB18" s="23"/>
      <c r="AC18" s="23"/>
      <c r="AD18" s="23"/>
      <c r="AE18" s="7" t="s">
        <v>28</v>
      </c>
      <c r="AF18" s="2"/>
      <c r="AI18" s="17" t="s">
        <v>65</v>
      </c>
      <c r="AJ18" s="20" t="s">
        <v>36</v>
      </c>
      <c r="AK18" s="20"/>
      <c r="AL18" s="18">
        <v>1</v>
      </c>
      <c r="AM18" s="18"/>
      <c r="AN18" s="20" t="s">
        <v>57</v>
      </c>
      <c r="AO18" s="20"/>
      <c r="AP18" s="18">
        <v>49</v>
      </c>
      <c r="AQ18" s="18">
        <f>76.875+0.25</f>
        <v>77.125</v>
      </c>
      <c r="AR18" s="19">
        <f>AR17-AQ18-$AL$2</f>
        <v>108.375</v>
      </c>
      <c r="AS18" s="9"/>
    </row>
    <row r="19" spans="2:45" x14ac:dyDescent="0.25">
      <c r="B19">
        <v>5091872</v>
      </c>
      <c r="C19">
        <v>1</v>
      </c>
      <c r="D19">
        <v>14</v>
      </c>
      <c r="E19" t="s">
        <v>27</v>
      </c>
      <c r="F19" t="s">
        <v>29</v>
      </c>
      <c r="G19">
        <f t="shared" si="0"/>
        <v>35.811999999999998</v>
      </c>
      <c r="H19">
        <f t="shared" si="1"/>
        <v>93.125</v>
      </c>
      <c r="I19">
        <v>17</v>
      </c>
      <c r="L19" s="5" t="s">
        <v>39</v>
      </c>
      <c r="M19" s="5" t="s">
        <v>41</v>
      </c>
      <c r="N19" s="5">
        <f>35.562+0.25</f>
        <v>35.811999999999998</v>
      </c>
      <c r="O19" s="5">
        <v>4</v>
      </c>
      <c r="P19" s="5" t="s">
        <v>29</v>
      </c>
      <c r="Z19" s="7" t="s">
        <v>32</v>
      </c>
      <c r="AA19" s="7" t="s">
        <v>34</v>
      </c>
      <c r="AB19" s="7" t="s">
        <v>35</v>
      </c>
      <c r="AC19" s="6"/>
      <c r="AD19" s="7"/>
      <c r="AE19" s="7"/>
      <c r="AF19" s="2"/>
      <c r="AG19" s="2"/>
    </row>
    <row r="20" spans="2:45" x14ac:dyDescent="0.25">
      <c r="B20">
        <v>5091872</v>
      </c>
      <c r="C20">
        <v>1</v>
      </c>
      <c r="D20">
        <v>15</v>
      </c>
      <c r="E20" t="s">
        <v>27</v>
      </c>
      <c r="F20" t="s">
        <v>29</v>
      </c>
      <c r="G20">
        <f t="shared" si="0"/>
        <v>35.811999999999998</v>
      </c>
      <c r="H20">
        <f t="shared" si="1"/>
        <v>93.125</v>
      </c>
      <c r="I20">
        <v>18</v>
      </c>
      <c r="L20" s="5" t="s">
        <v>39</v>
      </c>
      <c r="M20" s="5" t="s">
        <v>44</v>
      </c>
      <c r="N20" s="5">
        <f>92.875+0.25</f>
        <v>93.125</v>
      </c>
      <c r="O20" s="5">
        <v>4</v>
      </c>
      <c r="P20" s="5" t="s">
        <v>29</v>
      </c>
      <c r="R20" s="2" t="s">
        <v>65</v>
      </c>
      <c r="S20" s="22" t="s">
        <v>66</v>
      </c>
      <c r="T20" s="22"/>
      <c r="U20" s="22"/>
      <c r="V20" s="22"/>
      <c r="W20" s="2" t="s">
        <v>26</v>
      </c>
      <c r="Y20" s="9"/>
      <c r="Z20" s="6" t="s">
        <v>37</v>
      </c>
      <c r="AA20" s="6">
        <f>92.875+0.25</f>
        <v>93.125</v>
      </c>
      <c r="AB20" s="6">
        <v>2</v>
      </c>
      <c r="AC20" s="6"/>
      <c r="AD20" s="6"/>
      <c r="AE20" s="6"/>
      <c r="AI20" s="11" t="s">
        <v>79</v>
      </c>
      <c r="AJ20" s="21" t="s">
        <v>80</v>
      </c>
      <c r="AK20" s="21"/>
      <c r="AL20" s="12" t="s">
        <v>81</v>
      </c>
      <c r="AM20" s="12"/>
      <c r="AN20" s="21" t="s">
        <v>82</v>
      </c>
      <c r="AO20" s="21"/>
      <c r="AP20" s="12" t="s">
        <v>83</v>
      </c>
      <c r="AQ20" s="12" t="s">
        <v>84</v>
      </c>
      <c r="AR20" s="13" t="s">
        <v>85</v>
      </c>
      <c r="AS20" s="8"/>
    </row>
    <row r="21" spans="2:45" x14ac:dyDescent="0.25">
      <c r="B21">
        <v>5091872</v>
      </c>
      <c r="C21">
        <v>1</v>
      </c>
      <c r="D21">
        <v>16</v>
      </c>
      <c r="E21" t="s">
        <v>27</v>
      </c>
      <c r="F21" t="s">
        <v>29</v>
      </c>
      <c r="G21">
        <f t="shared" si="0"/>
        <v>35.811999999999998</v>
      </c>
      <c r="H21">
        <f t="shared" si="1"/>
        <v>93.125</v>
      </c>
      <c r="I21">
        <v>19</v>
      </c>
      <c r="L21" s="5" t="s">
        <v>39</v>
      </c>
      <c r="M21" s="5" t="s">
        <v>45</v>
      </c>
      <c r="N21" s="5">
        <f>35.562+0.25</f>
        <v>35.811999999999998</v>
      </c>
      <c r="O21" s="5">
        <v>4</v>
      </c>
      <c r="P21" s="5" t="s">
        <v>29</v>
      </c>
      <c r="R21" s="2" t="s">
        <v>32</v>
      </c>
      <c r="S21" s="2" t="s">
        <v>34</v>
      </c>
      <c r="T21" s="2" t="s">
        <v>35</v>
      </c>
      <c r="V21" s="2" t="s">
        <v>32</v>
      </c>
      <c r="W21" s="2" t="s">
        <v>34</v>
      </c>
      <c r="X21" s="2" t="s">
        <v>35</v>
      </c>
      <c r="Y21" s="9"/>
      <c r="AI21" s="14"/>
      <c r="AR21" s="15">
        <f>$AH$2-$AJ$2-$AL$2</f>
        <v>186.5</v>
      </c>
      <c r="AS21" s="8"/>
    </row>
    <row r="22" spans="2:45" x14ac:dyDescent="0.25">
      <c r="B22">
        <v>5091872</v>
      </c>
      <c r="C22">
        <v>1</v>
      </c>
      <c r="D22">
        <v>17</v>
      </c>
      <c r="E22" t="s">
        <v>27</v>
      </c>
      <c r="F22" t="s">
        <v>29</v>
      </c>
      <c r="G22">
        <f t="shared" si="0"/>
        <v>35.811999999999998</v>
      </c>
      <c r="H22">
        <f t="shared" si="1"/>
        <v>93.125</v>
      </c>
      <c r="I22">
        <v>20</v>
      </c>
      <c r="L22" s="5" t="s">
        <v>39</v>
      </c>
      <c r="M22" s="5" t="s">
        <v>46</v>
      </c>
      <c r="N22" s="5">
        <f>92.875+0.25</f>
        <v>93.125</v>
      </c>
      <c r="O22" s="5">
        <v>4</v>
      </c>
      <c r="P22" s="5" t="s">
        <v>29</v>
      </c>
      <c r="R22" s="10" t="s">
        <v>36</v>
      </c>
      <c r="S22" s="10">
        <f>76.875+0.25</f>
        <v>77.125</v>
      </c>
      <c r="T22" s="10">
        <v>1</v>
      </c>
      <c r="U22" s="10"/>
      <c r="V22" s="10" t="s">
        <v>57</v>
      </c>
      <c r="W22" s="10">
        <f>76.875+0.25</f>
        <v>77.125</v>
      </c>
      <c r="X22" s="10">
        <v>49</v>
      </c>
      <c r="Y22" s="9"/>
      <c r="AI22" s="17" t="s">
        <v>74</v>
      </c>
      <c r="AJ22" s="20" t="s">
        <v>37</v>
      </c>
      <c r="AK22" s="20"/>
      <c r="AL22" s="18">
        <v>2</v>
      </c>
      <c r="AM22" s="18"/>
      <c r="AN22" s="20" t="s">
        <v>37</v>
      </c>
      <c r="AO22" s="20"/>
      <c r="AP22" s="18">
        <v>2</v>
      </c>
      <c r="AQ22" s="18">
        <f>35.562+0.25</f>
        <v>35.811999999999998</v>
      </c>
      <c r="AR22" s="19">
        <f>AR21-AQ22-$AL$2</f>
        <v>149.68799999999999</v>
      </c>
      <c r="AS22" s="8"/>
    </row>
    <row r="23" spans="2:45" x14ac:dyDescent="0.25">
      <c r="B23">
        <v>5091872</v>
      </c>
      <c r="C23">
        <v>1</v>
      </c>
      <c r="D23">
        <v>18</v>
      </c>
      <c r="E23" t="s">
        <v>27</v>
      </c>
      <c r="F23" t="s">
        <v>29</v>
      </c>
      <c r="G23">
        <f t="shared" si="0"/>
        <v>35.811999999999998</v>
      </c>
      <c r="H23">
        <f t="shared" si="1"/>
        <v>93.125</v>
      </c>
      <c r="I23">
        <v>21</v>
      </c>
      <c r="V23" s="22" t="s">
        <v>78</v>
      </c>
      <c r="W23" s="22"/>
      <c r="X23" s="22"/>
      <c r="Y23">
        <v>49</v>
      </c>
    </row>
    <row r="24" spans="2:45" x14ac:dyDescent="0.25">
      <c r="B24">
        <v>5091872</v>
      </c>
      <c r="C24">
        <v>1</v>
      </c>
      <c r="D24">
        <v>19</v>
      </c>
      <c r="E24" t="s">
        <v>27</v>
      </c>
      <c r="F24" t="s">
        <v>29</v>
      </c>
      <c r="G24">
        <f t="shared" si="0"/>
        <v>35.811999999999998</v>
      </c>
      <c r="H24">
        <f t="shared" si="1"/>
        <v>93.125</v>
      </c>
      <c r="I24">
        <v>22</v>
      </c>
      <c r="L24" s="5" t="s">
        <v>40</v>
      </c>
      <c r="M24" s="5" t="s">
        <v>41</v>
      </c>
      <c r="N24" s="5">
        <f>35.562+0.25</f>
        <v>35.811999999999998</v>
      </c>
      <c r="O24" s="5">
        <v>5</v>
      </c>
      <c r="P24" s="5" t="s">
        <v>29</v>
      </c>
      <c r="AI24" s="11" t="s">
        <v>79</v>
      </c>
      <c r="AJ24" s="21" t="s">
        <v>80</v>
      </c>
      <c r="AK24" s="21"/>
      <c r="AL24" s="12" t="s">
        <v>81</v>
      </c>
      <c r="AM24" s="12"/>
      <c r="AN24" s="21" t="s">
        <v>82</v>
      </c>
      <c r="AO24" s="21"/>
      <c r="AP24" s="12" t="s">
        <v>83</v>
      </c>
      <c r="AQ24" s="12" t="s">
        <v>84</v>
      </c>
      <c r="AR24" s="13" t="s">
        <v>85</v>
      </c>
      <c r="AS24" s="8"/>
    </row>
    <row r="25" spans="2:45" x14ac:dyDescent="0.25">
      <c r="B25">
        <v>5091872</v>
      </c>
      <c r="C25">
        <v>1</v>
      </c>
      <c r="D25">
        <v>20</v>
      </c>
      <c r="E25" t="s">
        <v>27</v>
      </c>
      <c r="F25" t="s">
        <v>29</v>
      </c>
      <c r="G25">
        <f t="shared" si="0"/>
        <v>35.811999999999998</v>
      </c>
      <c r="H25">
        <f t="shared" si="1"/>
        <v>93.125</v>
      </c>
      <c r="I25">
        <v>23</v>
      </c>
      <c r="L25" s="5" t="s">
        <v>40</v>
      </c>
      <c r="M25" s="5" t="s">
        <v>44</v>
      </c>
      <c r="N25" s="5">
        <f>92.875+0.25</f>
        <v>93.125</v>
      </c>
      <c r="O25" s="5">
        <v>5</v>
      </c>
      <c r="P25" s="5" t="s">
        <v>29</v>
      </c>
      <c r="AI25" s="14"/>
      <c r="AR25" s="15">
        <f>$AH$2-$AJ$2-$AL$2</f>
        <v>186.5</v>
      </c>
      <c r="AS25" s="8"/>
    </row>
    <row r="26" spans="2:45" x14ac:dyDescent="0.25">
      <c r="B26" t="s">
        <v>42</v>
      </c>
      <c r="L26" s="5" t="s">
        <v>40</v>
      </c>
      <c r="M26" s="5" t="s">
        <v>45</v>
      </c>
      <c r="N26" s="5">
        <f>35.562+0.25</f>
        <v>35.811999999999998</v>
      </c>
      <c r="O26" s="5">
        <v>5</v>
      </c>
      <c r="P26" s="5" t="s">
        <v>29</v>
      </c>
      <c r="R26" s="2" t="s">
        <v>74</v>
      </c>
      <c r="S26" s="22" t="s">
        <v>75</v>
      </c>
      <c r="T26" s="22"/>
      <c r="U26" s="22"/>
      <c r="V26" s="22"/>
      <c r="W26" s="2" t="s">
        <v>28</v>
      </c>
      <c r="Y26" s="8"/>
      <c r="AI26" s="17" t="s">
        <v>76</v>
      </c>
      <c r="AJ26" s="20" t="s">
        <v>37</v>
      </c>
      <c r="AK26" s="20"/>
      <c r="AL26" s="18">
        <v>2</v>
      </c>
      <c r="AM26" s="18"/>
      <c r="AN26" s="20" t="s">
        <v>37</v>
      </c>
      <c r="AO26" s="20"/>
      <c r="AP26" s="18">
        <v>2</v>
      </c>
      <c r="AQ26" s="18">
        <f>92.875+0.25</f>
        <v>93.125</v>
      </c>
      <c r="AR26" s="19">
        <f>AR25-AQ26-$AL$2</f>
        <v>92.375</v>
      </c>
      <c r="AS26" s="8"/>
    </row>
    <row r="27" spans="2:45" x14ac:dyDescent="0.25">
      <c r="B27" s="1">
        <v>5041841</v>
      </c>
      <c r="C27" s="1">
        <v>4</v>
      </c>
      <c r="D27" s="1">
        <v>1</v>
      </c>
      <c r="E27" s="1" t="s">
        <v>27</v>
      </c>
      <c r="F27" s="1" t="s">
        <v>43</v>
      </c>
      <c r="G27" s="1">
        <f t="shared" si="0"/>
        <v>35.811999999999998</v>
      </c>
      <c r="H27" s="1">
        <f t="shared" si="1"/>
        <v>93.125</v>
      </c>
      <c r="I27" s="1">
        <v>40</v>
      </c>
      <c r="L27" s="5" t="s">
        <v>40</v>
      </c>
      <c r="M27" s="5" t="s">
        <v>46</v>
      </c>
      <c r="N27" s="5">
        <f>92.875+0.25</f>
        <v>93.125</v>
      </c>
      <c r="O27" s="5">
        <v>5</v>
      </c>
      <c r="P27" s="5" t="s">
        <v>29</v>
      </c>
      <c r="R27" s="2" t="s">
        <v>32</v>
      </c>
      <c r="S27" s="2" t="s">
        <v>34</v>
      </c>
      <c r="T27" s="2" t="s">
        <v>35</v>
      </c>
      <c r="V27" s="2" t="s">
        <v>32</v>
      </c>
      <c r="W27" s="2" t="s">
        <v>34</v>
      </c>
      <c r="X27" s="2" t="s">
        <v>35</v>
      </c>
      <c r="Y27" s="8"/>
    </row>
    <row r="28" spans="2:45" x14ac:dyDescent="0.25">
      <c r="B28" s="1">
        <v>5041841</v>
      </c>
      <c r="C28" s="1">
        <v>4</v>
      </c>
      <c r="D28" s="1">
        <v>2</v>
      </c>
      <c r="E28" s="1" t="s">
        <v>27</v>
      </c>
      <c r="F28" s="1" t="s">
        <v>43</v>
      </c>
      <c r="G28" s="1">
        <f t="shared" si="0"/>
        <v>35.811999999999998</v>
      </c>
      <c r="H28" s="1">
        <f t="shared" si="1"/>
        <v>93.125</v>
      </c>
      <c r="I28" s="1">
        <v>41</v>
      </c>
      <c r="R28" s="10" t="s">
        <v>37</v>
      </c>
      <c r="S28" s="10">
        <f>35.562+0.25</f>
        <v>35.811999999999998</v>
      </c>
      <c r="T28" s="10">
        <v>2</v>
      </c>
      <c r="U28" s="10"/>
      <c r="V28" s="10" t="s">
        <v>37</v>
      </c>
      <c r="W28" s="10">
        <f>35.562+0.25</f>
        <v>35.811999999999998</v>
      </c>
      <c r="X28" s="10">
        <v>2</v>
      </c>
      <c r="Y28" s="8"/>
    </row>
    <row r="29" spans="2:45" x14ac:dyDescent="0.25">
      <c r="B29" s="1">
        <v>5041841</v>
      </c>
      <c r="C29" s="1">
        <v>4</v>
      </c>
      <c r="D29" s="1">
        <v>3</v>
      </c>
      <c r="E29" s="1" t="s">
        <v>27</v>
      </c>
      <c r="F29" s="1" t="s">
        <v>43</v>
      </c>
      <c r="G29" s="1">
        <f t="shared" si="0"/>
        <v>35.811999999999998</v>
      </c>
      <c r="H29" s="1">
        <f t="shared" si="1"/>
        <v>93.125</v>
      </c>
      <c r="I29" s="1">
        <v>42</v>
      </c>
      <c r="L29" s="5" t="s">
        <v>47</v>
      </c>
      <c r="M29" s="5" t="s">
        <v>41</v>
      </c>
      <c r="N29" s="5">
        <f>35.562+0.25</f>
        <v>35.811999999999998</v>
      </c>
      <c r="O29" s="5">
        <v>6</v>
      </c>
      <c r="P29" s="5" t="s">
        <v>29</v>
      </c>
      <c r="V29" s="22" t="s">
        <v>78</v>
      </c>
      <c r="W29" s="22"/>
      <c r="X29" s="22"/>
      <c r="Y29" s="10">
        <v>2</v>
      </c>
      <c r="AI29" s="11" t="s">
        <v>79</v>
      </c>
      <c r="AJ29" s="21" t="s">
        <v>80</v>
      </c>
      <c r="AK29" s="21"/>
      <c r="AL29" s="12" t="s">
        <v>81</v>
      </c>
      <c r="AM29" s="12"/>
      <c r="AN29" s="21" t="s">
        <v>82</v>
      </c>
      <c r="AO29" s="21"/>
      <c r="AP29" s="12" t="s">
        <v>83</v>
      </c>
      <c r="AQ29" s="12" t="s">
        <v>84</v>
      </c>
      <c r="AR29" s="13" t="s">
        <v>85</v>
      </c>
      <c r="AS29" s="10"/>
    </row>
    <row r="30" spans="2:45" x14ac:dyDescent="0.25">
      <c r="B30" s="1">
        <v>5041841</v>
      </c>
      <c r="C30" s="1">
        <v>4</v>
      </c>
      <c r="D30" s="1">
        <v>4</v>
      </c>
      <c r="E30" s="1" t="s">
        <v>27</v>
      </c>
      <c r="F30" s="1" t="s">
        <v>43</v>
      </c>
      <c r="G30" s="1">
        <f t="shared" si="0"/>
        <v>35.811999999999998</v>
      </c>
      <c r="H30" s="1">
        <f t="shared" si="1"/>
        <v>93.125</v>
      </c>
      <c r="I30" s="1">
        <v>43</v>
      </c>
      <c r="L30" s="5" t="s">
        <v>47</v>
      </c>
      <c r="M30" s="5" t="s">
        <v>44</v>
      </c>
      <c r="N30" s="5">
        <f>92.875+0.25</f>
        <v>93.125</v>
      </c>
      <c r="O30" s="5">
        <v>6</v>
      </c>
      <c r="P30" s="5" t="s">
        <v>29</v>
      </c>
      <c r="AI30" s="14"/>
      <c r="AR30" s="15">
        <f>$AH$2-$AJ$2-$AL$2</f>
        <v>186.5</v>
      </c>
      <c r="AS30" s="10"/>
    </row>
    <row r="31" spans="2:45" x14ac:dyDescent="0.25">
      <c r="B31" s="1">
        <v>5041841</v>
      </c>
      <c r="C31" s="1">
        <v>5</v>
      </c>
      <c r="D31" s="1">
        <v>1</v>
      </c>
      <c r="E31" s="1" t="s">
        <v>27</v>
      </c>
      <c r="F31" s="1" t="s">
        <v>43</v>
      </c>
      <c r="G31" s="1">
        <f t="shared" si="0"/>
        <v>35.811999999999998</v>
      </c>
      <c r="H31" s="1">
        <f t="shared" si="1"/>
        <v>93.125</v>
      </c>
      <c r="I31" s="1">
        <v>44</v>
      </c>
      <c r="L31" s="5" t="s">
        <v>47</v>
      </c>
      <c r="M31" s="5" t="s">
        <v>45</v>
      </c>
      <c r="N31" s="5">
        <f>35.562+0.25</f>
        <v>35.811999999999998</v>
      </c>
      <c r="O31" s="5">
        <v>6</v>
      </c>
      <c r="P31" s="5" t="s">
        <v>29</v>
      </c>
      <c r="AI31" s="16" t="s">
        <v>59</v>
      </c>
      <c r="AJ31" s="22" t="s">
        <v>38</v>
      </c>
      <c r="AK31" s="22"/>
      <c r="AL31">
        <v>3</v>
      </c>
      <c r="AN31" s="22" t="s">
        <v>39</v>
      </c>
      <c r="AO31" s="22"/>
      <c r="AP31">
        <v>4</v>
      </c>
      <c r="AQ31">
        <f>35.562+0.25</f>
        <v>35.811999999999998</v>
      </c>
      <c r="AR31" s="15">
        <f>AR30-AQ31-$AL$2</f>
        <v>149.68799999999999</v>
      </c>
      <c r="AS31" s="10"/>
    </row>
    <row r="32" spans="2:45" x14ac:dyDescent="0.25">
      <c r="B32" s="1">
        <v>5041841</v>
      </c>
      <c r="C32" s="1">
        <v>5</v>
      </c>
      <c r="D32" s="1">
        <v>2</v>
      </c>
      <c r="E32" s="1" t="s">
        <v>27</v>
      </c>
      <c r="F32" s="1" t="s">
        <v>43</v>
      </c>
      <c r="G32" s="1">
        <f t="shared" si="0"/>
        <v>35.811999999999998</v>
      </c>
      <c r="H32" s="1">
        <f t="shared" si="1"/>
        <v>93.125</v>
      </c>
      <c r="I32" s="1">
        <v>45</v>
      </c>
      <c r="L32" s="5" t="s">
        <v>47</v>
      </c>
      <c r="M32" s="5" t="s">
        <v>46</v>
      </c>
      <c r="N32" s="5">
        <f>92.875+0.25</f>
        <v>93.125</v>
      </c>
      <c r="O32" s="5">
        <v>6</v>
      </c>
      <c r="P32" s="5" t="s">
        <v>29</v>
      </c>
      <c r="R32" s="2" t="s">
        <v>76</v>
      </c>
      <c r="S32" s="22" t="s">
        <v>77</v>
      </c>
      <c r="T32" s="22"/>
      <c r="U32" s="22"/>
      <c r="V32" s="22"/>
      <c r="W32" s="2" t="s">
        <v>28</v>
      </c>
      <c r="Y32" s="8"/>
      <c r="AI32" s="16" t="s">
        <v>61</v>
      </c>
      <c r="AJ32" s="22" t="s">
        <v>38</v>
      </c>
      <c r="AK32" s="22"/>
      <c r="AL32">
        <v>3</v>
      </c>
      <c r="AN32" s="22" t="s">
        <v>39</v>
      </c>
      <c r="AO32" s="22"/>
      <c r="AP32">
        <v>4</v>
      </c>
      <c r="AQ32">
        <f>35.562+0.25</f>
        <v>35.811999999999998</v>
      </c>
      <c r="AR32" s="15">
        <f>AR31-AQ32-$AL$2</f>
        <v>112.87599999999999</v>
      </c>
      <c r="AS32" s="10"/>
    </row>
    <row r="33" spans="2:45" x14ac:dyDescent="0.25">
      <c r="B33" s="1">
        <v>5041841</v>
      </c>
      <c r="C33" s="1">
        <v>5</v>
      </c>
      <c r="D33" s="1">
        <v>3</v>
      </c>
      <c r="E33" s="1" t="s">
        <v>27</v>
      </c>
      <c r="F33" s="1" t="s">
        <v>43</v>
      </c>
      <c r="G33" s="1">
        <f t="shared" si="0"/>
        <v>35.811999999999998</v>
      </c>
      <c r="H33" s="1">
        <f t="shared" si="1"/>
        <v>93.125</v>
      </c>
      <c r="I33" s="1">
        <v>46</v>
      </c>
      <c r="R33" s="2" t="s">
        <v>32</v>
      </c>
      <c r="S33" s="2" t="s">
        <v>34</v>
      </c>
      <c r="T33" s="2" t="s">
        <v>35</v>
      </c>
      <c r="V33" s="2" t="s">
        <v>32</v>
      </c>
      <c r="W33" s="2" t="s">
        <v>34</v>
      </c>
      <c r="X33" s="2" t="s">
        <v>35</v>
      </c>
      <c r="Y33" s="8"/>
      <c r="AI33" s="16" t="s">
        <v>59</v>
      </c>
      <c r="AJ33" s="22" t="s">
        <v>40</v>
      </c>
      <c r="AK33" s="22"/>
      <c r="AL33">
        <v>5</v>
      </c>
      <c r="AN33" s="22" t="s">
        <v>47</v>
      </c>
      <c r="AO33" s="22"/>
      <c r="AP33">
        <v>6</v>
      </c>
      <c r="AQ33">
        <f>35.562+0.25</f>
        <v>35.811999999999998</v>
      </c>
      <c r="AR33" s="15">
        <f>AR32-AQ33-$AL$2</f>
        <v>76.063999999999993</v>
      </c>
      <c r="AS33" s="10"/>
    </row>
    <row r="34" spans="2:45" x14ac:dyDescent="0.25">
      <c r="B34" s="1">
        <v>5041841</v>
      </c>
      <c r="C34" s="1">
        <v>5</v>
      </c>
      <c r="D34" s="1">
        <v>4</v>
      </c>
      <c r="E34" s="1" t="s">
        <v>27</v>
      </c>
      <c r="F34" s="1" t="s">
        <v>43</v>
      </c>
      <c r="G34" s="1">
        <f t="shared" si="0"/>
        <v>35.811999999999998</v>
      </c>
      <c r="H34" s="1">
        <f t="shared" si="1"/>
        <v>93.125</v>
      </c>
      <c r="I34" s="1">
        <v>47</v>
      </c>
      <c r="L34" t="s">
        <v>48</v>
      </c>
      <c r="M34" t="s">
        <v>41</v>
      </c>
      <c r="N34">
        <f>35.562+0.25</f>
        <v>35.811999999999998</v>
      </c>
      <c r="O34">
        <v>7</v>
      </c>
      <c r="P34" t="s">
        <v>29</v>
      </c>
      <c r="R34" s="10" t="s">
        <v>37</v>
      </c>
      <c r="S34" s="10">
        <f>92.875+0.25</f>
        <v>93.125</v>
      </c>
      <c r="T34" s="10">
        <v>2</v>
      </c>
      <c r="U34" s="10"/>
      <c r="V34" s="10" t="s">
        <v>37</v>
      </c>
      <c r="W34" s="10">
        <f>92.875+0.25</f>
        <v>93.125</v>
      </c>
      <c r="X34" s="10">
        <v>2</v>
      </c>
      <c r="Y34" s="8"/>
      <c r="AI34" s="17" t="s">
        <v>61</v>
      </c>
      <c r="AJ34" s="20" t="s">
        <v>40</v>
      </c>
      <c r="AK34" s="20"/>
      <c r="AL34" s="18">
        <v>5</v>
      </c>
      <c r="AM34" s="18"/>
      <c r="AN34" s="20" t="s">
        <v>47</v>
      </c>
      <c r="AO34" s="20"/>
      <c r="AP34" s="18">
        <v>6</v>
      </c>
      <c r="AQ34" s="18">
        <f>35.562+0.25</f>
        <v>35.811999999999998</v>
      </c>
      <c r="AR34" s="19">
        <f>AR33-AQ34-$AL$2</f>
        <v>39.251999999999995</v>
      </c>
      <c r="AS34" s="10"/>
    </row>
    <row r="35" spans="2:45" x14ac:dyDescent="0.25">
      <c r="B35" s="1">
        <v>5115207</v>
      </c>
      <c r="C35" s="1">
        <v>1</v>
      </c>
      <c r="D35" s="1">
        <v>1</v>
      </c>
      <c r="E35" s="1" t="s">
        <v>24</v>
      </c>
      <c r="F35" s="1" t="s">
        <v>26</v>
      </c>
      <c r="G35" s="1">
        <f t="shared" si="0"/>
        <v>35.811999999999998</v>
      </c>
      <c r="H35" s="1">
        <f>76.875+0.25</f>
        <v>77.125</v>
      </c>
      <c r="I35" s="1">
        <v>49</v>
      </c>
      <c r="L35" t="s">
        <v>48</v>
      </c>
      <c r="M35" t="s">
        <v>44</v>
      </c>
      <c r="N35">
        <f>92.875+0.25</f>
        <v>93.125</v>
      </c>
      <c r="O35">
        <v>7</v>
      </c>
      <c r="P35" t="s">
        <v>29</v>
      </c>
      <c r="V35" s="22" t="s">
        <v>78</v>
      </c>
      <c r="W35" s="22"/>
      <c r="X35" s="22"/>
      <c r="Y35" s="10">
        <v>2</v>
      </c>
    </row>
    <row r="36" spans="2:45" x14ac:dyDescent="0.25">
      <c r="B36">
        <v>5113568</v>
      </c>
      <c r="C36">
        <v>1</v>
      </c>
      <c r="D36">
        <v>1</v>
      </c>
      <c r="E36" t="s">
        <v>27</v>
      </c>
      <c r="F36" t="s">
        <v>26</v>
      </c>
      <c r="G36">
        <f t="shared" si="0"/>
        <v>35.811999999999998</v>
      </c>
      <c r="H36">
        <f t="shared" si="1"/>
        <v>93.125</v>
      </c>
      <c r="I36">
        <v>51</v>
      </c>
      <c r="L36" t="s">
        <v>48</v>
      </c>
      <c r="M36" t="s">
        <v>45</v>
      </c>
      <c r="N36">
        <f>35.562+0.25</f>
        <v>35.811999999999998</v>
      </c>
      <c r="O36">
        <v>7</v>
      </c>
      <c r="P36" t="s">
        <v>29</v>
      </c>
    </row>
    <row r="37" spans="2:45" x14ac:dyDescent="0.25">
      <c r="L37" t="s">
        <v>48</v>
      </c>
      <c r="M37" t="s">
        <v>46</v>
      </c>
      <c r="N37">
        <f>92.875+0.25</f>
        <v>93.125</v>
      </c>
      <c r="O37">
        <v>7</v>
      </c>
      <c r="P37" t="s">
        <v>29</v>
      </c>
      <c r="AI37" s="11" t="s">
        <v>79</v>
      </c>
      <c r="AJ37" s="21" t="s">
        <v>80</v>
      </c>
      <c r="AK37" s="21"/>
      <c r="AL37" s="12" t="s">
        <v>81</v>
      </c>
      <c r="AM37" s="12"/>
      <c r="AN37" s="21" t="s">
        <v>82</v>
      </c>
      <c r="AO37" s="21"/>
      <c r="AP37" s="12" t="s">
        <v>83</v>
      </c>
      <c r="AQ37" s="12" t="s">
        <v>84</v>
      </c>
      <c r="AR37" s="13" t="s">
        <v>85</v>
      </c>
      <c r="AS37" s="10"/>
    </row>
    <row r="38" spans="2:45" x14ac:dyDescent="0.25">
      <c r="R38" s="2" t="s">
        <v>59</v>
      </c>
      <c r="S38" s="22" t="s">
        <v>60</v>
      </c>
      <c r="T38" s="22"/>
      <c r="U38" s="22"/>
      <c r="V38" s="22"/>
      <c r="W38" s="2" t="s">
        <v>29</v>
      </c>
      <c r="Y38" s="10"/>
      <c r="AI38" s="14"/>
      <c r="AR38" s="15">
        <f>$AH$2-$AJ$2-$AL$2</f>
        <v>186.5</v>
      </c>
      <c r="AS38" s="10"/>
    </row>
    <row r="39" spans="2:45" x14ac:dyDescent="0.25">
      <c r="L39" t="s">
        <v>49</v>
      </c>
      <c r="M39" t="s">
        <v>41</v>
      </c>
      <c r="N39">
        <f>35.562+0.25</f>
        <v>35.811999999999998</v>
      </c>
      <c r="O39">
        <v>40</v>
      </c>
      <c r="P39" t="s">
        <v>43</v>
      </c>
      <c r="R39" s="2" t="s">
        <v>32</v>
      </c>
      <c r="S39" s="2" t="s">
        <v>34</v>
      </c>
      <c r="T39" s="2" t="s">
        <v>35</v>
      </c>
      <c r="V39" s="2" t="s">
        <v>32</v>
      </c>
      <c r="W39" s="2" t="s">
        <v>34</v>
      </c>
      <c r="X39" s="2" t="s">
        <v>35</v>
      </c>
      <c r="Y39" s="10"/>
      <c r="AI39" s="17" t="s">
        <v>63</v>
      </c>
      <c r="AJ39" s="20" t="s">
        <v>38</v>
      </c>
      <c r="AK39" s="20"/>
      <c r="AL39" s="18">
        <v>3</v>
      </c>
      <c r="AM39" s="18"/>
      <c r="AN39" s="20" t="s">
        <v>39</v>
      </c>
      <c r="AO39" s="20"/>
      <c r="AP39" s="18">
        <v>4</v>
      </c>
      <c r="AQ39" s="18">
        <f>92.875+0.25</f>
        <v>93.125</v>
      </c>
      <c r="AR39" s="19">
        <f>AR38-AQ39-$AL$2</f>
        <v>92.375</v>
      </c>
      <c r="AS39" s="10"/>
    </row>
    <row r="40" spans="2:45" x14ac:dyDescent="0.25">
      <c r="L40" t="s">
        <v>49</v>
      </c>
      <c r="M40" t="s">
        <v>44</v>
      </c>
      <c r="N40">
        <f>92.875+0.25</f>
        <v>93.125</v>
      </c>
      <c r="O40">
        <v>40</v>
      </c>
      <c r="P40" t="s">
        <v>43</v>
      </c>
      <c r="R40" s="10" t="s">
        <v>38</v>
      </c>
      <c r="S40" s="10">
        <f>35.562+0.25</f>
        <v>35.811999999999998</v>
      </c>
      <c r="T40" s="10">
        <v>3</v>
      </c>
      <c r="U40" s="10"/>
      <c r="V40" s="10" t="s">
        <v>39</v>
      </c>
      <c r="W40" s="10">
        <f>35.562+0.25</f>
        <v>35.811999999999998</v>
      </c>
      <c r="X40" s="10">
        <v>4</v>
      </c>
      <c r="Y40" s="10"/>
    </row>
    <row r="41" spans="2:45" x14ac:dyDescent="0.25">
      <c r="L41" t="s">
        <v>49</v>
      </c>
      <c r="M41" t="s">
        <v>45</v>
      </c>
      <c r="N41">
        <f>35.562+0.25</f>
        <v>35.811999999999998</v>
      </c>
      <c r="O41">
        <v>40</v>
      </c>
      <c r="P41" t="s">
        <v>43</v>
      </c>
      <c r="R41" s="10" t="s">
        <v>40</v>
      </c>
      <c r="S41" s="10">
        <f>35.562+0.25</f>
        <v>35.811999999999998</v>
      </c>
      <c r="T41" s="10">
        <v>5</v>
      </c>
      <c r="U41" s="10"/>
      <c r="V41" s="10" t="s">
        <v>47</v>
      </c>
      <c r="W41" s="10">
        <f>35.562+0.25</f>
        <v>35.811999999999998</v>
      </c>
      <c r="X41" s="10">
        <v>6</v>
      </c>
      <c r="Y41" s="10"/>
    </row>
    <row r="42" spans="2:45" x14ac:dyDescent="0.25">
      <c r="L42" t="s">
        <v>49</v>
      </c>
      <c r="M42" t="s">
        <v>46</v>
      </c>
      <c r="N42">
        <f>92.875+0.25</f>
        <v>93.125</v>
      </c>
      <c r="O42">
        <v>40</v>
      </c>
      <c r="P42" t="s">
        <v>43</v>
      </c>
      <c r="V42" s="22" t="s">
        <v>78</v>
      </c>
      <c r="W42" s="22"/>
      <c r="X42" s="22"/>
      <c r="Y42">
        <v>6</v>
      </c>
      <c r="AI42" s="11" t="s">
        <v>79</v>
      </c>
      <c r="AJ42" s="21" t="s">
        <v>80</v>
      </c>
      <c r="AK42" s="21"/>
      <c r="AL42" s="12" t="s">
        <v>81</v>
      </c>
      <c r="AM42" s="12"/>
      <c r="AN42" s="21" t="s">
        <v>82</v>
      </c>
      <c r="AO42" s="21"/>
      <c r="AP42" s="12" t="s">
        <v>83</v>
      </c>
      <c r="AQ42" s="12" t="s">
        <v>84</v>
      </c>
      <c r="AR42" s="13" t="s">
        <v>85</v>
      </c>
      <c r="AS42" s="10"/>
    </row>
    <row r="43" spans="2:45" x14ac:dyDescent="0.25">
      <c r="AI43" s="14"/>
      <c r="AR43" s="15">
        <f>$AH$2-$AJ$2-$AL$2</f>
        <v>186.5</v>
      </c>
      <c r="AS43" s="10"/>
    </row>
    <row r="44" spans="2:45" x14ac:dyDescent="0.25">
      <c r="L44" t="s">
        <v>50</v>
      </c>
      <c r="M44" t="s">
        <v>41</v>
      </c>
      <c r="N44">
        <f>35.562+0.25</f>
        <v>35.811999999999998</v>
      </c>
      <c r="O44">
        <v>41</v>
      </c>
      <c r="P44" t="s">
        <v>43</v>
      </c>
      <c r="AI44" s="17" t="s">
        <v>65</v>
      </c>
      <c r="AJ44" s="20" t="s">
        <v>38</v>
      </c>
      <c r="AK44" s="20"/>
      <c r="AL44" s="18">
        <v>3</v>
      </c>
      <c r="AM44" s="18"/>
      <c r="AN44" s="20" t="s">
        <v>39</v>
      </c>
      <c r="AO44" s="20"/>
      <c r="AP44" s="18">
        <v>4</v>
      </c>
      <c r="AQ44" s="18">
        <f>92.875+0.25</f>
        <v>93.125</v>
      </c>
      <c r="AR44" s="19">
        <f>AR43-AQ44-$AL$2</f>
        <v>92.375</v>
      </c>
      <c r="AS44" s="10"/>
    </row>
    <row r="45" spans="2:45" x14ac:dyDescent="0.25">
      <c r="L45" t="s">
        <v>50</v>
      </c>
      <c r="M45" t="s">
        <v>44</v>
      </c>
      <c r="N45">
        <f>92.875+0.25</f>
        <v>93.125</v>
      </c>
      <c r="O45">
        <v>41</v>
      </c>
      <c r="P45" t="s">
        <v>43</v>
      </c>
      <c r="R45" s="2" t="s">
        <v>61</v>
      </c>
      <c r="S45" s="22" t="s">
        <v>62</v>
      </c>
      <c r="T45" s="22"/>
      <c r="U45" s="22"/>
      <c r="V45" s="22"/>
      <c r="W45" s="2" t="s">
        <v>29</v>
      </c>
      <c r="Y45" s="10"/>
    </row>
    <row r="46" spans="2:45" x14ac:dyDescent="0.25">
      <c r="L46" t="s">
        <v>50</v>
      </c>
      <c r="M46" t="s">
        <v>45</v>
      </c>
      <c r="N46">
        <f>35.562+0.25</f>
        <v>35.811999999999998</v>
      </c>
      <c r="O46">
        <v>41</v>
      </c>
      <c r="P46" t="s">
        <v>43</v>
      </c>
      <c r="R46" s="2" t="s">
        <v>32</v>
      </c>
      <c r="S46" s="2" t="s">
        <v>34</v>
      </c>
      <c r="T46" s="2" t="s">
        <v>35</v>
      </c>
      <c r="V46" s="2" t="s">
        <v>32</v>
      </c>
      <c r="W46" s="2" t="s">
        <v>34</v>
      </c>
      <c r="X46" s="2" t="s">
        <v>35</v>
      </c>
      <c r="Y46" s="10"/>
      <c r="AI46" s="11" t="s">
        <v>79</v>
      </c>
      <c r="AJ46" s="21" t="s">
        <v>80</v>
      </c>
      <c r="AK46" s="21"/>
      <c r="AL46" s="12" t="s">
        <v>81</v>
      </c>
      <c r="AM46" s="12"/>
      <c r="AN46" s="21" t="s">
        <v>82</v>
      </c>
      <c r="AO46" s="21"/>
      <c r="AP46" s="12" t="s">
        <v>83</v>
      </c>
      <c r="AQ46" s="12" t="s">
        <v>84</v>
      </c>
      <c r="AR46" s="13" t="s">
        <v>85</v>
      </c>
      <c r="AS46" s="10"/>
    </row>
    <row r="47" spans="2:45" x14ac:dyDescent="0.25">
      <c r="L47" t="s">
        <v>50</v>
      </c>
      <c r="M47" t="s">
        <v>46</v>
      </c>
      <c r="N47">
        <f>92.875+0.25</f>
        <v>93.125</v>
      </c>
      <c r="O47">
        <v>41</v>
      </c>
      <c r="P47" t="s">
        <v>43</v>
      </c>
      <c r="R47" s="10" t="s">
        <v>38</v>
      </c>
      <c r="S47" s="10">
        <f>35.562+0.25</f>
        <v>35.811999999999998</v>
      </c>
      <c r="T47" s="10">
        <v>3</v>
      </c>
      <c r="U47" s="10"/>
      <c r="V47" s="10" t="s">
        <v>39</v>
      </c>
      <c r="W47" s="10">
        <f>35.562+0.25</f>
        <v>35.811999999999998</v>
      </c>
      <c r="X47" s="10">
        <v>4</v>
      </c>
      <c r="Y47" s="10"/>
      <c r="AI47" s="14"/>
      <c r="AR47" s="15">
        <f>$AH$2-$AJ$2-$AL$2</f>
        <v>186.5</v>
      </c>
      <c r="AS47" s="10"/>
    </row>
    <row r="48" spans="2:45" x14ac:dyDescent="0.25">
      <c r="R48" s="10" t="s">
        <v>40</v>
      </c>
      <c r="S48" s="10">
        <f>35.562+0.25</f>
        <v>35.811999999999998</v>
      </c>
      <c r="T48" s="10">
        <v>5</v>
      </c>
      <c r="U48" s="10"/>
      <c r="V48" s="10" t="s">
        <v>47</v>
      </c>
      <c r="W48" s="10">
        <f>35.562+0.25</f>
        <v>35.811999999999998</v>
      </c>
      <c r="X48" s="10">
        <v>6</v>
      </c>
      <c r="Y48" s="10"/>
      <c r="AI48" s="17" t="s">
        <v>63</v>
      </c>
      <c r="AJ48" s="20" t="s">
        <v>40</v>
      </c>
      <c r="AK48" s="20"/>
      <c r="AL48" s="18">
        <v>5</v>
      </c>
      <c r="AM48" s="18"/>
      <c r="AN48" s="20" t="s">
        <v>47</v>
      </c>
      <c r="AO48" s="20"/>
      <c r="AP48" s="18">
        <v>6</v>
      </c>
      <c r="AQ48" s="18">
        <f>92.875+0.25</f>
        <v>93.125</v>
      </c>
      <c r="AR48" s="19">
        <f>AR47-AQ48-$AL$2</f>
        <v>92.375</v>
      </c>
      <c r="AS48" s="10"/>
    </row>
    <row r="49" spans="12:25" x14ac:dyDescent="0.25">
      <c r="L49" t="s">
        <v>51</v>
      </c>
      <c r="M49" t="s">
        <v>41</v>
      </c>
      <c r="N49">
        <f>35.562+0.25</f>
        <v>35.811999999999998</v>
      </c>
      <c r="O49">
        <v>42</v>
      </c>
      <c r="P49" t="s">
        <v>43</v>
      </c>
      <c r="V49" s="22" t="s">
        <v>78</v>
      </c>
      <c r="W49" s="22"/>
      <c r="X49" s="22"/>
      <c r="Y49">
        <v>6</v>
      </c>
    </row>
    <row r="50" spans="12:25" x14ac:dyDescent="0.25">
      <c r="L50" t="s">
        <v>51</v>
      </c>
      <c r="M50" t="s">
        <v>44</v>
      </c>
      <c r="N50">
        <f>92.875+0.25</f>
        <v>93.125</v>
      </c>
      <c r="O50">
        <v>42</v>
      </c>
      <c r="P50" t="s">
        <v>43</v>
      </c>
    </row>
    <row r="51" spans="12:25" x14ac:dyDescent="0.25">
      <c r="L51" t="s">
        <v>51</v>
      </c>
      <c r="M51" t="s">
        <v>45</v>
      </c>
      <c r="N51">
        <f>35.562+0.25</f>
        <v>35.811999999999998</v>
      </c>
      <c r="O51">
        <v>42</v>
      </c>
      <c r="P51" t="s">
        <v>43</v>
      </c>
    </row>
    <row r="52" spans="12:25" x14ac:dyDescent="0.25">
      <c r="L52" t="s">
        <v>51</v>
      </c>
      <c r="M52" t="s">
        <v>46</v>
      </c>
      <c r="N52">
        <f>92.875+0.25</f>
        <v>93.125</v>
      </c>
      <c r="O52">
        <v>42</v>
      </c>
      <c r="P52" t="s">
        <v>43</v>
      </c>
      <c r="R52" s="2" t="s">
        <v>63</v>
      </c>
      <c r="S52" s="22" t="s">
        <v>64</v>
      </c>
      <c r="T52" s="22"/>
      <c r="U52" s="22"/>
      <c r="V52" s="22"/>
      <c r="W52" s="2" t="s">
        <v>29</v>
      </c>
      <c r="Y52" s="10"/>
    </row>
    <row r="53" spans="12:25" x14ac:dyDescent="0.25">
      <c r="R53" s="2" t="s">
        <v>32</v>
      </c>
      <c r="S53" s="2" t="s">
        <v>34</v>
      </c>
      <c r="T53" s="2" t="s">
        <v>35</v>
      </c>
      <c r="V53" s="2" t="s">
        <v>32</v>
      </c>
      <c r="W53" s="2" t="s">
        <v>34</v>
      </c>
      <c r="X53" s="2" t="s">
        <v>35</v>
      </c>
      <c r="Y53" s="10"/>
    </row>
    <row r="54" spans="12:25" x14ac:dyDescent="0.25">
      <c r="L54" t="s">
        <v>52</v>
      </c>
      <c r="M54" t="s">
        <v>41</v>
      </c>
      <c r="N54">
        <f>35.562+0.25</f>
        <v>35.811999999999998</v>
      </c>
      <c r="O54">
        <v>43</v>
      </c>
      <c r="P54" t="s">
        <v>43</v>
      </c>
      <c r="R54" s="10" t="s">
        <v>38</v>
      </c>
      <c r="S54" s="10">
        <f>92.875+0.25</f>
        <v>93.125</v>
      </c>
      <c r="T54" s="10">
        <v>3</v>
      </c>
      <c r="U54" s="10"/>
      <c r="V54" s="10" t="s">
        <v>39</v>
      </c>
      <c r="W54" s="10">
        <f>92.875+0.25</f>
        <v>93.125</v>
      </c>
      <c r="X54" s="10">
        <v>4</v>
      </c>
      <c r="Y54" s="10"/>
    </row>
    <row r="55" spans="12:25" x14ac:dyDescent="0.25">
      <c r="L55" t="s">
        <v>52</v>
      </c>
      <c r="M55" t="s">
        <v>44</v>
      </c>
      <c r="N55">
        <f>92.875+0.25</f>
        <v>93.125</v>
      </c>
      <c r="O55">
        <v>43</v>
      </c>
      <c r="P55" t="s">
        <v>43</v>
      </c>
      <c r="R55" s="10" t="s">
        <v>40</v>
      </c>
      <c r="S55" s="10">
        <f>92.875+0.25</f>
        <v>93.125</v>
      </c>
      <c r="T55" s="10">
        <v>5</v>
      </c>
      <c r="U55" s="10"/>
      <c r="V55" s="10" t="s">
        <v>47</v>
      </c>
      <c r="W55" s="10">
        <f>92.875+0.25</f>
        <v>93.125</v>
      </c>
      <c r="X55" s="10">
        <v>6</v>
      </c>
      <c r="Y55" s="10"/>
    </row>
    <row r="56" spans="12:25" x14ac:dyDescent="0.25">
      <c r="L56" t="s">
        <v>52</v>
      </c>
      <c r="M56" t="s">
        <v>45</v>
      </c>
      <c r="N56">
        <f>35.562+0.25</f>
        <v>35.811999999999998</v>
      </c>
      <c r="O56">
        <v>43</v>
      </c>
      <c r="P56" t="s">
        <v>43</v>
      </c>
      <c r="V56" s="22" t="s">
        <v>78</v>
      </c>
      <c r="W56" s="22"/>
      <c r="X56" s="22"/>
      <c r="Y56">
        <v>6</v>
      </c>
    </row>
    <row r="57" spans="12:25" x14ac:dyDescent="0.25">
      <c r="L57" t="s">
        <v>52</v>
      </c>
      <c r="M57" t="s">
        <v>46</v>
      </c>
      <c r="N57">
        <f>92.875+0.25</f>
        <v>93.125</v>
      </c>
      <c r="O57">
        <v>43</v>
      </c>
      <c r="P57" t="s">
        <v>43</v>
      </c>
    </row>
    <row r="59" spans="12:25" x14ac:dyDescent="0.25">
      <c r="L59" t="s">
        <v>53</v>
      </c>
      <c r="M59" t="s">
        <v>41</v>
      </c>
      <c r="N59">
        <f>35.562+0.25</f>
        <v>35.811999999999998</v>
      </c>
      <c r="O59">
        <v>44</v>
      </c>
      <c r="P59" t="s">
        <v>43</v>
      </c>
      <c r="R59" s="2" t="s">
        <v>65</v>
      </c>
      <c r="S59" s="22" t="s">
        <v>66</v>
      </c>
      <c r="T59" s="22"/>
      <c r="U59" s="22"/>
      <c r="V59" s="22"/>
      <c r="W59" s="2" t="s">
        <v>29</v>
      </c>
      <c r="Y59" s="10"/>
    </row>
    <row r="60" spans="12:25" x14ac:dyDescent="0.25">
      <c r="L60" t="s">
        <v>53</v>
      </c>
      <c r="M60" t="s">
        <v>44</v>
      </c>
      <c r="N60">
        <f>92.875+0.25</f>
        <v>93.125</v>
      </c>
      <c r="O60">
        <v>44</v>
      </c>
      <c r="P60" t="s">
        <v>43</v>
      </c>
      <c r="R60" s="2" t="s">
        <v>32</v>
      </c>
      <c r="S60" s="2" t="s">
        <v>34</v>
      </c>
      <c r="T60" s="2" t="s">
        <v>35</v>
      </c>
      <c r="V60" s="2" t="s">
        <v>32</v>
      </c>
      <c r="W60" s="2" t="s">
        <v>34</v>
      </c>
      <c r="X60" s="2" t="s">
        <v>35</v>
      </c>
      <c r="Y60" s="10"/>
    </row>
    <row r="61" spans="12:25" x14ac:dyDescent="0.25">
      <c r="L61" t="s">
        <v>53</v>
      </c>
      <c r="M61" t="s">
        <v>45</v>
      </c>
      <c r="N61">
        <f>35.562+0.25</f>
        <v>35.811999999999998</v>
      </c>
      <c r="O61">
        <v>44</v>
      </c>
      <c r="P61" t="s">
        <v>43</v>
      </c>
      <c r="R61" s="10" t="s">
        <v>38</v>
      </c>
      <c r="S61" s="10">
        <f>92.875+0.25</f>
        <v>93.125</v>
      </c>
      <c r="T61" s="10">
        <v>3</v>
      </c>
      <c r="U61" s="10"/>
      <c r="V61" s="10" t="s">
        <v>39</v>
      </c>
      <c r="W61" s="10">
        <f>92.875+0.25</f>
        <v>93.125</v>
      </c>
      <c r="X61" s="10">
        <v>4</v>
      </c>
      <c r="Y61" s="10"/>
    </row>
    <row r="62" spans="12:25" x14ac:dyDescent="0.25">
      <c r="L62" t="s">
        <v>53</v>
      </c>
      <c r="M62" t="s">
        <v>46</v>
      </c>
      <c r="N62">
        <f>92.875+0.25</f>
        <v>93.125</v>
      </c>
      <c r="O62">
        <v>44</v>
      </c>
      <c r="P62" t="s">
        <v>43</v>
      </c>
      <c r="R62" t="s">
        <v>40</v>
      </c>
      <c r="S62">
        <f>92.875+0.25</f>
        <v>93.125</v>
      </c>
      <c r="T62">
        <v>5</v>
      </c>
      <c r="V62" t="s">
        <v>47</v>
      </c>
      <c r="W62">
        <f>92.875+0.25</f>
        <v>93.125</v>
      </c>
      <c r="X62">
        <v>6</v>
      </c>
      <c r="Y62" s="10"/>
    </row>
    <row r="63" spans="12:25" x14ac:dyDescent="0.25">
      <c r="V63" s="22" t="s">
        <v>78</v>
      </c>
      <c r="W63" s="22"/>
      <c r="X63" s="22"/>
      <c r="Y63">
        <v>4</v>
      </c>
    </row>
    <row r="64" spans="12:25" x14ac:dyDescent="0.25">
      <c r="L64" t="s">
        <v>54</v>
      </c>
      <c r="M64" t="s">
        <v>41</v>
      </c>
      <c r="N64">
        <f>35.562+0.25</f>
        <v>35.811999999999998</v>
      </c>
      <c r="O64">
        <v>45</v>
      </c>
      <c r="P64" t="s">
        <v>43</v>
      </c>
    </row>
    <row r="65" spans="12:16" x14ac:dyDescent="0.25">
      <c r="L65" t="s">
        <v>54</v>
      </c>
      <c r="M65" t="s">
        <v>44</v>
      </c>
      <c r="N65">
        <f>92.875+0.25</f>
        <v>93.125</v>
      </c>
      <c r="O65">
        <v>45</v>
      </c>
      <c r="P65" t="s">
        <v>43</v>
      </c>
    </row>
    <row r="66" spans="12:16" x14ac:dyDescent="0.25">
      <c r="L66" t="s">
        <v>54</v>
      </c>
      <c r="M66" t="s">
        <v>45</v>
      </c>
      <c r="N66">
        <f>35.562+0.25</f>
        <v>35.811999999999998</v>
      </c>
      <c r="O66">
        <v>45</v>
      </c>
      <c r="P66" t="s">
        <v>43</v>
      </c>
    </row>
    <row r="67" spans="12:16" x14ac:dyDescent="0.25">
      <c r="L67" t="s">
        <v>54</v>
      </c>
      <c r="M67" t="s">
        <v>46</v>
      </c>
      <c r="N67">
        <f>92.875+0.25</f>
        <v>93.125</v>
      </c>
      <c r="O67">
        <v>45</v>
      </c>
      <c r="P67" t="s">
        <v>43</v>
      </c>
    </row>
    <row r="69" spans="12:16" x14ac:dyDescent="0.25">
      <c r="L69" t="s">
        <v>55</v>
      </c>
      <c r="M69" t="s">
        <v>41</v>
      </c>
      <c r="N69">
        <f>35.562+0.25</f>
        <v>35.811999999999998</v>
      </c>
      <c r="O69">
        <v>46</v>
      </c>
      <c r="P69" t="s">
        <v>43</v>
      </c>
    </row>
    <row r="70" spans="12:16" x14ac:dyDescent="0.25">
      <c r="L70" t="s">
        <v>55</v>
      </c>
      <c r="M70" t="s">
        <v>44</v>
      </c>
      <c r="N70">
        <f>92.875+0.25</f>
        <v>93.125</v>
      </c>
      <c r="O70">
        <v>46</v>
      </c>
      <c r="P70" t="s">
        <v>43</v>
      </c>
    </row>
    <row r="71" spans="12:16" x14ac:dyDescent="0.25">
      <c r="L71" t="s">
        <v>55</v>
      </c>
      <c r="M71" t="s">
        <v>45</v>
      </c>
      <c r="N71">
        <f>35.562+0.25</f>
        <v>35.811999999999998</v>
      </c>
      <c r="O71">
        <v>46</v>
      </c>
      <c r="P71" t="s">
        <v>43</v>
      </c>
    </row>
    <row r="72" spans="12:16" x14ac:dyDescent="0.25">
      <c r="L72" t="s">
        <v>55</v>
      </c>
      <c r="M72" t="s">
        <v>46</v>
      </c>
      <c r="N72">
        <f>92.875+0.25</f>
        <v>93.125</v>
      </c>
      <c r="O72">
        <v>46</v>
      </c>
      <c r="P72" t="s">
        <v>43</v>
      </c>
    </row>
    <row r="74" spans="12:16" x14ac:dyDescent="0.25">
      <c r="L74" t="s">
        <v>56</v>
      </c>
      <c r="M74" t="s">
        <v>41</v>
      </c>
      <c r="N74">
        <f>35.562+0.25</f>
        <v>35.811999999999998</v>
      </c>
      <c r="O74">
        <v>47</v>
      </c>
      <c r="P74" t="s">
        <v>43</v>
      </c>
    </row>
    <row r="75" spans="12:16" x14ac:dyDescent="0.25">
      <c r="L75" t="s">
        <v>56</v>
      </c>
      <c r="M75" t="s">
        <v>44</v>
      </c>
      <c r="N75">
        <f>92.875+0.25</f>
        <v>93.125</v>
      </c>
      <c r="O75">
        <v>47</v>
      </c>
      <c r="P75" t="s">
        <v>43</v>
      </c>
    </row>
    <row r="76" spans="12:16" x14ac:dyDescent="0.25">
      <c r="L76" t="s">
        <v>56</v>
      </c>
      <c r="M76" t="s">
        <v>45</v>
      </c>
      <c r="N76">
        <f>35.562+0.25</f>
        <v>35.811999999999998</v>
      </c>
      <c r="O76">
        <v>47</v>
      </c>
      <c r="P76" t="s">
        <v>43</v>
      </c>
    </row>
    <row r="77" spans="12:16" x14ac:dyDescent="0.25">
      <c r="L77" t="s">
        <v>56</v>
      </c>
      <c r="M77" t="s">
        <v>46</v>
      </c>
      <c r="N77">
        <f>92.875+0.25</f>
        <v>93.125</v>
      </c>
      <c r="O77">
        <v>47</v>
      </c>
      <c r="P77" t="s">
        <v>43</v>
      </c>
    </row>
    <row r="79" spans="12:16" x14ac:dyDescent="0.25">
      <c r="L79" s="1" t="s">
        <v>57</v>
      </c>
      <c r="M79" s="1" t="s">
        <v>41</v>
      </c>
      <c r="N79" s="1">
        <f>35.562+0.25</f>
        <v>35.811999999999998</v>
      </c>
      <c r="O79" s="1">
        <v>49</v>
      </c>
      <c r="P79" s="1" t="s">
        <v>26</v>
      </c>
    </row>
    <row r="80" spans="12:16" x14ac:dyDescent="0.25">
      <c r="L80" s="4" t="s">
        <v>57</v>
      </c>
      <c r="M80" s="4" t="s">
        <v>44</v>
      </c>
      <c r="N80" s="4">
        <f>76.875+0.25</f>
        <v>77.125</v>
      </c>
      <c r="O80" s="4">
        <v>49</v>
      </c>
      <c r="P80" s="4" t="s">
        <v>26</v>
      </c>
    </row>
    <row r="81" spans="12:16" x14ac:dyDescent="0.25">
      <c r="L81" s="3" t="s">
        <v>57</v>
      </c>
      <c r="M81" s="3" t="s">
        <v>45</v>
      </c>
      <c r="N81" s="3">
        <f>35.562+0.25</f>
        <v>35.811999999999998</v>
      </c>
      <c r="O81" s="3">
        <v>49</v>
      </c>
      <c r="P81" s="3" t="s">
        <v>26</v>
      </c>
    </row>
    <row r="82" spans="12:16" x14ac:dyDescent="0.25">
      <c r="L82" s="4" t="s">
        <v>57</v>
      </c>
      <c r="M82" s="4" t="s">
        <v>46</v>
      </c>
      <c r="N82" s="4">
        <f>76.875+0.25</f>
        <v>77.125</v>
      </c>
      <c r="O82" s="4">
        <v>49</v>
      </c>
      <c r="P82" s="4" t="s">
        <v>26</v>
      </c>
    </row>
    <row r="84" spans="12:16" x14ac:dyDescent="0.25">
      <c r="L84" t="s">
        <v>58</v>
      </c>
      <c r="M84" t="s">
        <v>41</v>
      </c>
      <c r="N84">
        <f>35.562+0.25</f>
        <v>35.811999999999998</v>
      </c>
      <c r="O84">
        <v>51</v>
      </c>
      <c r="P84" t="s">
        <v>26</v>
      </c>
    </row>
    <row r="85" spans="12:16" x14ac:dyDescent="0.25">
      <c r="L85" t="s">
        <v>58</v>
      </c>
      <c r="M85" t="s">
        <v>44</v>
      </c>
      <c r="N85">
        <f>92.875+0.25</f>
        <v>93.125</v>
      </c>
      <c r="O85">
        <v>51</v>
      </c>
      <c r="P85" t="s">
        <v>26</v>
      </c>
    </row>
    <row r="86" spans="12:16" x14ac:dyDescent="0.25">
      <c r="L86" t="s">
        <v>58</v>
      </c>
      <c r="M86" t="s">
        <v>45</v>
      </c>
      <c r="N86">
        <f>35.562+0.25</f>
        <v>35.811999999999998</v>
      </c>
      <c r="O86">
        <v>51</v>
      </c>
      <c r="P86" t="s">
        <v>26</v>
      </c>
    </row>
    <row r="87" spans="12:16" x14ac:dyDescent="0.25">
      <c r="L87" t="s">
        <v>58</v>
      </c>
      <c r="M87" t="s">
        <v>46</v>
      </c>
      <c r="N87">
        <f>92.875+0.25</f>
        <v>93.125</v>
      </c>
      <c r="O87">
        <v>51</v>
      </c>
      <c r="P87" t="s">
        <v>26</v>
      </c>
    </row>
  </sheetData>
  <mergeCells count="70">
    <mergeCell ref="S2:V2"/>
    <mergeCell ref="AA4:AD4"/>
    <mergeCell ref="S38:V38"/>
    <mergeCell ref="S8:V8"/>
    <mergeCell ref="AA9:AD9"/>
    <mergeCell ref="V29:X29"/>
    <mergeCell ref="S14:V14"/>
    <mergeCell ref="AA13:AD13"/>
    <mergeCell ref="S20:V20"/>
    <mergeCell ref="AA18:AD18"/>
    <mergeCell ref="S59:V59"/>
    <mergeCell ref="V35:X35"/>
    <mergeCell ref="V42:X42"/>
    <mergeCell ref="V49:X49"/>
    <mergeCell ref="V56:X56"/>
    <mergeCell ref="S45:V45"/>
    <mergeCell ref="S52:V52"/>
    <mergeCell ref="V63:X63"/>
    <mergeCell ref="AJ5:AK5"/>
    <mergeCell ref="AN5:AO5"/>
    <mergeCell ref="AJ7:AK7"/>
    <mergeCell ref="AN7:AO7"/>
    <mergeCell ref="AJ8:AK8"/>
    <mergeCell ref="AN8:AO8"/>
    <mergeCell ref="AJ11:AK11"/>
    <mergeCell ref="AN11:AO11"/>
    <mergeCell ref="AJ13:AK13"/>
    <mergeCell ref="S26:V26"/>
    <mergeCell ref="S32:V32"/>
    <mergeCell ref="V5:X5"/>
    <mergeCell ref="V11:X11"/>
    <mergeCell ref="V17:X17"/>
    <mergeCell ref="V23:X23"/>
    <mergeCell ref="AN13:AO13"/>
    <mergeCell ref="AJ14:AK14"/>
    <mergeCell ref="AN14:AO14"/>
    <mergeCell ref="AJ16:AK16"/>
    <mergeCell ref="AN16:AO16"/>
    <mergeCell ref="AJ18:AK18"/>
    <mergeCell ref="AN18:AO18"/>
    <mergeCell ref="AJ20:AK20"/>
    <mergeCell ref="AN20:AO20"/>
    <mergeCell ref="AJ22:AK22"/>
    <mergeCell ref="AN22:AO22"/>
    <mergeCell ref="AJ24:AK24"/>
    <mergeCell ref="AN24:AO24"/>
    <mergeCell ref="AJ26:AK26"/>
    <mergeCell ref="AN26:AO26"/>
    <mergeCell ref="AJ29:AK29"/>
    <mergeCell ref="AN29:AO29"/>
    <mergeCell ref="AJ31:AK31"/>
    <mergeCell ref="AN31:AO31"/>
    <mergeCell ref="AJ32:AK32"/>
    <mergeCell ref="AN32:AO32"/>
    <mergeCell ref="AJ33:AK33"/>
    <mergeCell ref="AN33:AO33"/>
    <mergeCell ref="AJ42:AK42"/>
    <mergeCell ref="AN42:AO42"/>
    <mergeCell ref="AJ34:AK34"/>
    <mergeCell ref="AN34:AO34"/>
    <mergeCell ref="AJ37:AK37"/>
    <mergeCell ref="AN37:AO37"/>
    <mergeCell ref="AJ39:AK39"/>
    <mergeCell ref="AN39:AO39"/>
    <mergeCell ref="AJ44:AK44"/>
    <mergeCell ref="AN44:AO44"/>
    <mergeCell ref="AJ46:AK46"/>
    <mergeCell ref="AN46:AO46"/>
    <mergeCell ref="AJ48:AK48"/>
    <mergeCell ref="AN48:AO4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D181-2758-43CB-B29A-A87F826596E0}">
  <dimension ref="A3:Q52"/>
  <sheetViews>
    <sheetView tabSelected="1" workbookViewId="0">
      <selection activeCell="A30" sqref="A30"/>
    </sheetView>
  </sheetViews>
  <sheetFormatPr defaultRowHeight="15" x14ac:dyDescent="0.25"/>
  <cols>
    <col min="1" max="1" width="15.140625" customWidth="1"/>
    <col min="2" max="2" width="28.7109375" bestFit="1" customWidth="1"/>
    <col min="3" max="3" width="17.7109375" bestFit="1" customWidth="1"/>
    <col min="4" max="4" width="24.140625" bestFit="1" customWidth="1"/>
    <col min="5" max="5" width="27.5703125" bestFit="1" customWidth="1"/>
    <col min="6" max="6" width="12.7109375" bestFit="1" customWidth="1"/>
    <col min="8" max="8" width="24.85546875" bestFit="1" customWidth="1"/>
    <col min="9" max="9" width="11.7109375" bestFit="1" customWidth="1"/>
    <col min="13" max="13" width="23" customWidth="1"/>
    <col min="14" max="14" width="1.5703125" customWidth="1"/>
    <col min="15" max="15" width="18.140625" customWidth="1"/>
    <col min="16" max="16" width="1.42578125" customWidth="1"/>
    <col min="17" max="17" width="45.85546875" bestFit="1" customWidth="1"/>
  </cols>
  <sheetData>
    <row r="3" spans="1:17" x14ac:dyDescent="0.25">
      <c r="B3" t="s">
        <v>90</v>
      </c>
    </row>
    <row r="7" spans="1:17" x14ac:dyDescent="0.25">
      <c r="A7" t="s">
        <v>104</v>
      </c>
      <c r="M7" s="27" t="s">
        <v>107</v>
      </c>
      <c r="O7" s="27" t="s">
        <v>107</v>
      </c>
      <c r="Q7" s="27" t="s">
        <v>107</v>
      </c>
    </row>
    <row r="8" spans="1:17" ht="15.75" x14ac:dyDescent="0.25">
      <c r="B8" s="24" t="s">
        <v>91</v>
      </c>
      <c r="C8" s="25" t="s">
        <v>92</v>
      </c>
      <c r="D8" s="25" t="s">
        <v>93</v>
      </c>
      <c r="E8" s="25" t="s">
        <v>94</v>
      </c>
      <c r="F8" s="25" t="s">
        <v>25</v>
      </c>
      <c r="G8" s="24" t="s">
        <v>95</v>
      </c>
      <c r="H8" s="24" t="s">
        <v>96</v>
      </c>
      <c r="I8" s="24" t="s">
        <v>97</v>
      </c>
      <c r="M8" s="30" t="s">
        <v>108</v>
      </c>
      <c r="O8" s="30" t="s">
        <v>114</v>
      </c>
      <c r="Q8" s="30" t="s">
        <v>117</v>
      </c>
    </row>
    <row r="9" spans="1:17" x14ac:dyDescent="0.25">
      <c r="B9" t="s">
        <v>98</v>
      </c>
      <c r="C9" t="s">
        <v>99</v>
      </c>
      <c r="D9">
        <v>71.5</v>
      </c>
      <c r="E9">
        <v>95.5</v>
      </c>
      <c r="F9" t="s">
        <v>100</v>
      </c>
      <c r="G9" t="s">
        <v>101</v>
      </c>
      <c r="H9" s="26">
        <v>46091</v>
      </c>
      <c r="I9" t="s">
        <v>102</v>
      </c>
      <c r="M9" s="28" t="s">
        <v>109</v>
      </c>
      <c r="O9" s="28" t="s">
        <v>115</v>
      </c>
      <c r="Q9" s="28" t="s">
        <v>113</v>
      </c>
    </row>
    <row r="10" spans="1:17" x14ac:dyDescent="0.25">
      <c r="B10" t="s">
        <v>103</v>
      </c>
      <c r="C10" t="s">
        <v>99</v>
      </c>
      <c r="D10">
        <v>71.5</v>
      </c>
      <c r="E10">
        <v>95.5</v>
      </c>
      <c r="F10" t="s">
        <v>100</v>
      </c>
      <c r="G10" t="s">
        <v>101</v>
      </c>
      <c r="H10" s="26">
        <v>46091</v>
      </c>
      <c r="I10" t="s">
        <v>102</v>
      </c>
      <c r="M10" s="28" t="s">
        <v>110</v>
      </c>
      <c r="O10" s="29" t="s">
        <v>116</v>
      </c>
      <c r="Q10" s="28" t="s">
        <v>118</v>
      </c>
    </row>
    <row r="11" spans="1:17" x14ac:dyDescent="0.25">
      <c r="M11" s="28" t="s">
        <v>111</v>
      </c>
      <c r="Q11" s="28" t="s">
        <v>119</v>
      </c>
    </row>
    <row r="12" spans="1:17" x14ac:dyDescent="0.25">
      <c r="M12" s="28" t="s">
        <v>112</v>
      </c>
      <c r="Q12" s="29" t="s">
        <v>120</v>
      </c>
    </row>
    <row r="13" spans="1:17" x14ac:dyDescent="0.25">
      <c r="M13" s="29" t="s">
        <v>113</v>
      </c>
    </row>
    <row r="16" spans="1:17" x14ac:dyDescent="0.25">
      <c r="A16" t="s">
        <v>105</v>
      </c>
    </row>
    <row r="17" spans="1:9" x14ac:dyDescent="0.25">
      <c r="A17" t="s">
        <v>106</v>
      </c>
      <c r="B17" s="28" t="s">
        <v>109</v>
      </c>
      <c r="C17" s="28" t="s">
        <v>110</v>
      </c>
      <c r="D17" s="28" t="s">
        <v>111</v>
      </c>
      <c r="E17" s="28" t="s">
        <v>112</v>
      </c>
      <c r="F17" s="29" t="s">
        <v>113</v>
      </c>
    </row>
    <row r="18" spans="1:9" x14ac:dyDescent="0.25">
      <c r="A18">
        <v>0</v>
      </c>
      <c r="B18" t="s">
        <v>98</v>
      </c>
      <c r="C18" t="s">
        <v>41</v>
      </c>
      <c r="D18">
        <v>35.561999999999998</v>
      </c>
      <c r="E18">
        <v>1</v>
      </c>
      <c r="F18" t="s">
        <v>100</v>
      </c>
    </row>
    <row r="19" spans="1:9" x14ac:dyDescent="0.25">
      <c r="A19">
        <v>1</v>
      </c>
      <c r="B19" t="s">
        <v>98</v>
      </c>
      <c r="C19" t="s">
        <v>44</v>
      </c>
      <c r="D19">
        <v>92.875</v>
      </c>
      <c r="E19">
        <v>1</v>
      </c>
      <c r="F19" t="s">
        <v>100</v>
      </c>
    </row>
    <row r="20" spans="1:9" x14ac:dyDescent="0.25">
      <c r="A20">
        <v>2</v>
      </c>
      <c r="B20" t="s">
        <v>98</v>
      </c>
      <c r="C20" t="s">
        <v>45</v>
      </c>
      <c r="D20">
        <v>35.561999999999998</v>
      </c>
      <c r="E20">
        <v>1</v>
      </c>
      <c r="F20" t="s">
        <v>100</v>
      </c>
    </row>
    <row r="21" spans="1:9" x14ac:dyDescent="0.25">
      <c r="A21">
        <v>3</v>
      </c>
      <c r="B21" t="s">
        <v>98</v>
      </c>
      <c r="C21" t="s">
        <v>46</v>
      </c>
      <c r="D21">
        <v>92.875</v>
      </c>
      <c r="E21">
        <v>1</v>
      </c>
      <c r="F21" t="s">
        <v>100</v>
      </c>
    </row>
    <row r="22" spans="1:9" x14ac:dyDescent="0.25">
      <c r="A22">
        <v>4</v>
      </c>
      <c r="B22" t="s">
        <v>103</v>
      </c>
      <c r="C22" t="s">
        <v>41</v>
      </c>
      <c r="D22">
        <v>35.561999999999998</v>
      </c>
      <c r="E22">
        <v>1</v>
      </c>
      <c r="F22" t="s">
        <v>100</v>
      </c>
    </row>
    <row r="23" spans="1:9" x14ac:dyDescent="0.25">
      <c r="A23">
        <v>5</v>
      </c>
      <c r="B23" t="s">
        <v>103</v>
      </c>
      <c r="C23" t="s">
        <v>44</v>
      </c>
      <c r="D23">
        <v>92.875</v>
      </c>
      <c r="E23">
        <v>1</v>
      </c>
      <c r="F23" t="s">
        <v>100</v>
      </c>
    </row>
    <row r="24" spans="1:9" x14ac:dyDescent="0.25">
      <c r="A24">
        <v>6</v>
      </c>
      <c r="B24" t="s">
        <v>103</v>
      </c>
      <c r="C24" t="s">
        <v>45</v>
      </c>
      <c r="D24">
        <v>35.561999999999998</v>
      </c>
      <c r="E24">
        <v>1</v>
      </c>
      <c r="F24" t="s">
        <v>100</v>
      </c>
    </row>
    <row r="25" spans="1:9" x14ac:dyDescent="0.25">
      <c r="A25">
        <v>7</v>
      </c>
      <c r="B25" t="s">
        <v>103</v>
      </c>
      <c r="C25" t="s">
        <v>46</v>
      </c>
      <c r="D25">
        <v>92.875</v>
      </c>
      <c r="E25">
        <v>1</v>
      </c>
      <c r="F25" t="s">
        <v>100</v>
      </c>
    </row>
    <row r="30" spans="1:9" x14ac:dyDescent="0.25">
      <c r="A30" t="s">
        <v>121</v>
      </c>
      <c r="D30" t="s">
        <v>126</v>
      </c>
    </row>
    <row r="31" spans="1:9" x14ac:dyDescent="0.25">
      <c r="A31" t="s">
        <v>122</v>
      </c>
      <c r="B31" s="28" t="s">
        <v>113</v>
      </c>
      <c r="C31" s="28" t="s">
        <v>118</v>
      </c>
      <c r="D31" s="28" t="s">
        <v>123</v>
      </c>
      <c r="E31" t="s">
        <v>120</v>
      </c>
      <c r="H31" t="s">
        <v>127</v>
      </c>
    </row>
    <row r="32" spans="1:9" x14ac:dyDescent="0.25">
      <c r="A32" s="33">
        <v>0</v>
      </c>
      <c r="B32" t="s">
        <v>100</v>
      </c>
      <c r="C32" t="s">
        <v>71</v>
      </c>
      <c r="D32" s="32" t="s">
        <v>132</v>
      </c>
      <c r="E32">
        <v>0</v>
      </c>
      <c r="H32" t="s">
        <v>128</v>
      </c>
      <c r="I32" t="s">
        <v>129</v>
      </c>
    </row>
    <row r="33" spans="1:5" x14ac:dyDescent="0.25">
      <c r="A33">
        <v>1</v>
      </c>
      <c r="B33" t="s">
        <v>100</v>
      </c>
      <c r="C33" t="s">
        <v>59</v>
      </c>
      <c r="D33" s="32" t="s">
        <v>130</v>
      </c>
      <c r="E33">
        <v>0</v>
      </c>
    </row>
    <row r="34" spans="1:5" x14ac:dyDescent="0.25">
      <c r="A34">
        <v>2</v>
      </c>
      <c r="B34" t="s">
        <v>100</v>
      </c>
      <c r="C34" t="s">
        <v>72</v>
      </c>
      <c r="D34" s="32" t="s">
        <v>132</v>
      </c>
      <c r="E34">
        <v>0</v>
      </c>
    </row>
    <row r="35" spans="1:5" x14ac:dyDescent="0.25">
      <c r="A35">
        <v>3</v>
      </c>
      <c r="B35" t="s">
        <v>100</v>
      </c>
      <c r="C35" t="s">
        <v>63</v>
      </c>
      <c r="D35" s="32" t="s">
        <v>130</v>
      </c>
      <c r="E35">
        <v>0</v>
      </c>
    </row>
    <row r="36" spans="1:5" x14ac:dyDescent="0.25">
      <c r="A36" s="33">
        <v>4</v>
      </c>
      <c r="B36" t="s">
        <v>100</v>
      </c>
      <c r="C36" t="s">
        <v>20</v>
      </c>
      <c r="D36" s="32" t="s">
        <v>132</v>
      </c>
      <c r="E36">
        <v>0</v>
      </c>
    </row>
    <row r="37" spans="1:5" x14ac:dyDescent="0.25">
      <c r="A37">
        <v>5</v>
      </c>
      <c r="B37" t="s">
        <v>100</v>
      </c>
      <c r="C37" t="s">
        <v>61</v>
      </c>
      <c r="D37" s="32" t="s">
        <v>130</v>
      </c>
      <c r="E37">
        <v>0</v>
      </c>
    </row>
    <row r="38" spans="1:5" x14ac:dyDescent="0.25">
      <c r="A38">
        <v>6</v>
      </c>
      <c r="B38" t="s">
        <v>100</v>
      </c>
      <c r="C38" t="s">
        <v>73</v>
      </c>
      <c r="D38" s="32" t="s">
        <v>132</v>
      </c>
      <c r="E38">
        <v>0</v>
      </c>
    </row>
    <row r="39" spans="1:5" x14ac:dyDescent="0.25">
      <c r="A39">
        <v>7</v>
      </c>
      <c r="B39" t="s">
        <v>100</v>
      </c>
      <c r="C39" t="s">
        <v>65</v>
      </c>
      <c r="D39" s="32" t="s">
        <v>130</v>
      </c>
      <c r="E39">
        <v>0</v>
      </c>
    </row>
    <row r="40" spans="1:5" x14ac:dyDescent="0.25">
      <c r="A40" s="34">
        <v>8</v>
      </c>
      <c r="B40" t="s">
        <v>100</v>
      </c>
      <c r="C40" t="s">
        <v>74</v>
      </c>
      <c r="D40" s="32" t="s">
        <v>132</v>
      </c>
      <c r="E40">
        <v>0</v>
      </c>
    </row>
    <row r="41" spans="1:5" x14ac:dyDescent="0.25">
      <c r="A41">
        <v>9</v>
      </c>
      <c r="B41" t="s">
        <v>100</v>
      </c>
      <c r="C41" t="s">
        <v>76</v>
      </c>
      <c r="D41" s="32" t="s">
        <v>130</v>
      </c>
      <c r="E41">
        <v>0</v>
      </c>
    </row>
    <row r="43" spans="1:5" x14ac:dyDescent="0.25">
      <c r="A43">
        <v>11</v>
      </c>
      <c r="B43" t="s">
        <v>131</v>
      </c>
      <c r="C43" t="s">
        <v>71</v>
      </c>
      <c r="D43" s="32" t="s">
        <v>132</v>
      </c>
      <c r="E43">
        <v>0</v>
      </c>
    </row>
    <row r="44" spans="1:5" x14ac:dyDescent="0.25">
      <c r="A44">
        <v>12</v>
      </c>
      <c r="B44" t="s">
        <v>131</v>
      </c>
      <c r="C44" t="s">
        <v>59</v>
      </c>
      <c r="D44" s="32" t="s">
        <v>130</v>
      </c>
      <c r="E44">
        <v>0</v>
      </c>
    </row>
    <row r="45" spans="1:5" x14ac:dyDescent="0.25">
      <c r="A45">
        <v>13</v>
      </c>
      <c r="B45" t="s">
        <v>131</v>
      </c>
      <c r="C45" t="s">
        <v>72</v>
      </c>
      <c r="D45" s="32" t="s">
        <v>132</v>
      </c>
      <c r="E45">
        <v>0</v>
      </c>
    </row>
    <row r="46" spans="1:5" x14ac:dyDescent="0.25">
      <c r="A46">
        <v>14</v>
      </c>
      <c r="B46" t="s">
        <v>131</v>
      </c>
      <c r="C46" t="s">
        <v>63</v>
      </c>
      <c r="D46" s="32" t="s">
        <v>130</v>
      </c>
      <c r="E46">
        <v>0</v>
      </c>
    </row>
    <row r="47" spans="1:5" x14ac:dyDescent="0.25">
      <c r="A47">
        <v>15</v>
      </c>
      <c r="B47" t="s">
        <v>131</v>
      </c>
      <c r="C47" t="s">
        <v>20</v>
      </c>
      <c r="D47" s="32" t="s">
        <v>132</v>
      </c>
      <c r="E47">
        <v>0</v>
      </c>
    </row>
    <row r="48" spans="1:5" x14ac:dyDescent="0.25">
      <c r="A48">
        <v>16</v>
      </c>
      <c r="B48" t="s">
        <v>131</v>
      </c>
      <c r="C48" t="s">
        <v>61</v>
      </c>
      <c r="D48" s="32" t="s">
        <v>130</v>
      </c>
      <c r="E48">
        <v>0</v>
      </c>
    </row>
    <row r="49" spans="1:5" x14ac:dyDescent="0.25">
      <c r="A49">
        <v>17</v>
      </c>
      <c r="B49" t="s">
        <v>131</v>
      </c>
      <c r="C49" t="s">
        <v>73</v>
      </c>
      <c r="D49" s="32" t="s">
        <v>132</v>
      </c>
      <c r="E49">
        <v>0</v>
      </c>
    </row>
    <row r="50" spans="1:5" x14ac:dyDescent="0.25">
      <c r="A50">
        <v>18</v>
      </c>
      <c r="B50" t="s">
        <v>131</v>
      </c>
      <c r="C50" t="s">
        <v>65</v>
      </c>
      <c r="D50" s="32" t="s">
        <v>130</v>
      </c>
      <c r="E50">
        <v>0</v>
      </c>
    </row>
    <row r="51" spans="1:5" x14ac:dyDescent="0.25">
      <c r="A51">
        <v>19</v>
      </c>
      <c r="B51" t="s">
        <v>131</v>
      </c>
      <c r="C51" t="s">
        <v>74</v>
      </c>
      <c r="D51" s="32" t="s">
        <v>132</v>
      </c>
      <c r="E51">
        <v>0</v>
      </c>
    </row>
    <row r="52" spans="1:5" x14ac:dyDescent="0.25">
      <c r="A52">
        <v>20</v>
      </c>
      <c r="B52" t="s">
        <v>131</v>
      </c>
      <c r="C52" t="s">
        <v>76</v>
      </c>
      <c r="D52" s="32" t="s">
        <v>130</v>
      </c>
      <c r="E5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F7672-6133-4BFA-945E-284EF855777B}">
  <dimension ref="A2:N33"/>
  <sheetViews>
    <sheetView workbookViewId="0">
      <selection activeCell="I28" sqref="I28"/>
    </sheetView>
  </sheetViews>
  <sheetFormatPr defaultRowHeight="15" x14ac:dyDescent="0.25"/>
  <cols>
    <col min="1" max="1" width="13.28515625" bestFit="1" customWidth="1"/>
    <col min="2" max="2" width="12.7109375" bestFit="1" customWidth="1"/>
    <col min="3" max="3" width="13.7109375" bestFit="1" customWidth="1"/>
    <col min="4" max="4" width="21.7109375" bestFit="1" customWidth="1"/>
    <col min="5" max="5" width="27.5703125" bestFit="1" customWidth="1"/>
    <col min="10" max="10" width="18.42578125" bestFit="1" customWidth="1"/>
    <col min="11" max="11" width="1.7109375" customWidth="1"/>
    <col min="12" max="12" width="18.140625" bestFit="1" customWidth="1"/>
    <col min="13" max="13" width="1.5703125" customWidth="1"/>
    <col min="14" max="14" width="45.85546875" bestFit="1" customWidth="1"/>
  </cols>
  <sheetData>
    <row r="2" spans="1:14" x14ac:dyDescent="0.25">
      <c r="A2" t="s">
        <v>121</v>
      </c>
    </row>
    <row r="3" spans="1:14" x14ac:dyDescent="0.25">
      <c r="A3" t="s">
        <v>122</v>
      </c>
      <c r="B3" s="28" t="s">
        <v>113</v>
      </c>
      <c r="C3" s="28" t="s">
        <v>118</v>
      </c>
      <c r="D3" s="28" t="s">
        <v>123</v>
      </c>
      <c r="E3" t="s">
        <v>120</v>
      </c>
    </row>
    <row r="4" spans="1:14" x14ac:dyDescent="0.25">
      <c r="A4">
        <v>0</v>
      </c>
      <c r="B4" t="s">
        <v>100</v>
      </c>
      <c r="C4" t="s">
        <v>71</v>
      </c>
      <c r="D4" t="s">
        <v>125</v>
      </c>
      <c r="E4">
        <v>0</v>
      </c>
      <c r="J4" s="27" t="s">
        <v>107</v>
      </c>
      <c r="L4" s="27" t="s">
        <v>107</v>
      </c>
      <c r="N4" s="27" t="s">
        <v>107</v>
      </c>
    </row>
    <row r="5" spans="1:14" x14ac:dyDescent="0.25">
      <c r="J5" s="30" t="s">
        <v>108</v>
      </c>
      <c r="L5" s="30" t="s">
        <v>114</v>
      </c>
      <c r="N5" s="30" t="s">
        <v>117</v>
      </c>
    </row>
    <row r="6" spans="1:14" x14ac:dyDescent="0.25">
      <c r="D6" s="31" t="s">
        <v>124</v>
      </c>
      <c r="J6" s="28" t="s">
        <v>109</v>
      </c>
      <c r="L6" s="28" t="s">
        <v>115</v>
      </c>
      <c r="N6" s="28" t="s">
        <v>113</v>
      </c>
    </row>
    <row r="7" spans="1:14" x14ac:dyDescent="0.25">
      <c r="A7">
        <v>1</v>
      </c>
      <c r="B7" t="s">
        <v>100</v>
      </c>
      <c r="C7" t="s">
        <v>59</v>
      </c>
      <c r="D7" t="s">
        <v>125</v>
      </c>
      <c r="E7">
        <v>0</v>
      </c>
      <c r="J7" s="28" t="s">
        <v>110</v>
      </c>
      <c r="L7" s="29" t="s">
        <v>116</v>
      </c>
      <c r="N7" s="28" t="s">
        <v>118</v>
      </c>
    </row>
    <row r="8" spans="1:14" x14ac:dyDescent="0.25">
      <c r="J8" s="28" t="s">
        <v>111</v>
      </c>
      <c r="N8" s="28" t="s">
        <v>119</v>
      </c>
    </row>
    <row r="9" spans="1:14" x14ac:dyDescent="0.25">
      <c r="D9" s="31" t="s">
        <v>124</v>
      </c>
      <c r="J9" s="28" t="s">
        <v>112</v>
      </c>
      <c r="N9" s="29" t="s">
        <v>120</v>
      </c>
    </row>
    <row r="10" spans="1:14" x14ac:dyDescent="0.25">
      <c r="A10">
        <v>2</v>
      </c>
      <c r="B10" t="s">
        <v>100</v>
      </c>
      <c r="C10" t="s">
        <v>72</v>
      </c>
      <c r="D10" t="s">
        <v>125</v>
      </c>
      <c r="E10">
        <v>0</v>
      </c>
      <c r="J10" s="29" t="s">
        <v>113</v>
      </c>
    </row>
    <row r="12" spans="1:14" x14ac:dyDescent="0.25">
      <c r="D12" s="31" t="s">
        <v>124</v>
      </c>
    </row>
    <row r="13" spans="1:14" x14ac:dyDescent="0.25">
      <c r="A13">
        <v>3</v>
      </c>
      <c r="B13" t="s">
        <v>100</v>
      </c>
      <c r="C13" t="s">
        <v>63</v>
      </c>
      <c r="D13" t="s">
        <v>125</v>
      </c>
      <c r="E13">
        <v>0</v>
      </c>
    </row>
    <row r="15" spans="1:14" x14ac:dyDescent="0.25">
      <c r="D15" s="31" t="s">
        <v>124</v>
      </c>
    </row>
    <row r="16" spans="1:14" x14ac:dyDescent="0.25">
      <c r="A16">
        <v>4</v>
      </c>
      <c r="B16" t="s">
        <v>100</v>
      </c>
      <c r="C16" t="s">
        <v>20</v>
      </c>
      <c r="D16" t="s">
        <v>125</v>
      </c>
      <c r="E16">
        <v>0</v>
      </c>
    </row>
    <row r="18" spans="1:5" x14ac:dyDescent="0.25">
      <c r="D18" s="31" t="s">
        <v>124</v>
      </c>
    </row>
    <row r="19" spans="1:5" x14ac:dyDescent="0.25">
      <c r="A19">
        <v>5</v>
      </c>
      <c r="B19" t="s">
        <v>100</v>
      </c>
      <c r="C19" t="s">
        <v>61</v>
      </c>
      <c r="D19" t="s">
        <v>125</v>
      </c>
      <c r="E19">
        <v>0</v>
      </c>
    </row>
    <row r="21" spans="1:5" x14ac:dyDescent="0.25">
      <c r="D21" s="31" t="s">
        <v>124</v>
      </c>
    </row>
    <row r="22" spans="1:5" x14ac:dyDescent="0.25">
      <c r="A22">
        <v>6</v>
      </c>
      <c r="B22" t="s">
        <v>100</v>
      </c>
      <c r="C22" t="s">
        <v>73</v>
      </c>
      <c r="D22" t="s">
        <v>125</v>
      </c>
      <c r="E22">
        <v>0</v>
      </c>
    </row>
    <row r="24" spans="1:5" x14ac:dyDescent="0.25">
      <c r="D24" s="31" t="s">
        <v>124</v>
      </c>
    </row>
    <row r="25" spans="1:5" x14ac:dyDescent="0.25">
      <c r="A25">
        <v>7</v>
      </c>
      <c r="B25" t="s">
        <v>100</v>
      </c>
      <c r="C25" t="s">
        <v>65</v>
      </c>
      <c r="D25" t="s">
        <v>125</v>
      </c>
      <c r="E25">
        <v>0</v>
      </c>
    </row>
    <row r="27" spans="1:5" x14ac:dyDescent="0.25">
      <c r="D27" s="31" t="s">
        <v>124</v>
      </c>
    </row>
    <row r="28" spans="1:5" x14ac:dyDescent="0.25">
      <c r="A28">
        <v>8</v>
      </c>
      <c r="B28" t="s">
        <v>100</v>
      </c>
      <c r="C28" t="s">
        <v>74</v>
      </c>
      <c r="D28" t="s">
        <v>125</v>
      </c>
      <c r="E28">
        <v>0</v>
      </c>
    </row>
    <row r="30" spans="1:5" x14ac:dyDescent="0.25">
      <c r="D30" s="31" t="s">
        <v>124</v>
      </c>
    </row>
    <row r="31" spans="1:5" x14ac:dyDescent="0.25">
      <c r="A31">
        <v>9</v>
      </c>
      <c r="B31" t="s">
        <v>100</v>
      </c>
      <c r="C31" t="s">
        <v>76</v>
      </c>
      <c r="D31" t="s">
        <v>125</v>
      </c>
      <c r="E31">
        <v>0</v>
      </c>
    </row>
    <row r="33" spans="4:4" x14ac:dyDescent="0.25">
      <c r="D33" s="3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1st attempt optimization</vt:lpstr>
      <vt:lpstr>1st attempt optimization, part2</vt:lpstr>
      <vt:lpstr>Sheet2</vt:lpstr>
      <vt:lpstr>orderLists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Amaya</cp:lastModifiedBy>
  <dcterms:created xsi:type="dcterms:W3CDTF">2026-03-02T16:25:30Z</dcterms:created>
  <dcterms:modified xsi:type="dcterms:W3CDTF">2026-03-13T19:07:23Z</dcterms:modified>
</cp:coreProperties>
</file>