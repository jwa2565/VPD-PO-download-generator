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13_ncr:1_{7B0994AB-A548-43BC-8002-B810680A9844}" xr6:coauthVersionLast="47" xr6:coauthVersionMax="47" xr10:uidLastSave="{00000000-0000-0000-0000-000000000000}"/>
  <bookViews>
    <workbookView xWindow="0" yWindow="360" windowWidth="29040" windowHeight="15720" activeTab="7" xr2:uid="{13FD8B79-6AC4-4200-9B98-F6A02B46B9F5}"/>
  </bookViews>
  <sheets>
    <sheet name="Sheet1" sheetId="1" r:id="rId1"/>
    <sheet name="Sheet2" sheetId="2" r:id="rId2"/>
    <sheet name="try2" sheetId="3" r:id="rId3"/>
    <sheet name="try3" sheetId="4" r:id="rId4"/>
    <sheet name="try4" sheetId="6" r:id="rId5"/>
    <sheet name="Sheet11" sheetId="11" r:id="rId6"/>
    <sheet name="Sheet9" sheetId="9" r:id="rId7"/>
    <sheet name="try5" sheetId="7" r:id="rId8"/>
    <sheet name="Sheet5" sheetId="5" r:id="rId9"/>
    <sheet name="Sheet8" sheetId="8" r:id="rId10"/>
    <sheet name="Sheet10" sheetId="10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1" l="1"/>
  <c r="H14" i="11"/>
  <c r="H15" i="11"/>
  <c r="H16" i="11"/>
  <c r="H17" i="11"/>
  <c r="H18" i="11"/>
  <c r="H12" i="11"/>
  <c r="AN11" i="6" l="1"/>
  <c r="AV31" i="7" l="1"/>
  <c r="AV32" i="7" s="1"/>
  <c r="AV33" i="7" s="1"/>
  <c r="AV34" i="7" s="1"/>
  <c r="AV35" i="7" s="1"/>
  <c r="AV36" i="7" s="1"/>
  <c r="AN43" i="6"/>
  <c r="AN40" i="6"/>
  <c r="AN42" i="6"/>
  <c r="AN38" i="6"/>
  <c r="AN39" i="6"/>
  <c r="AN23" i="6"/>
  <c r="AN36" i="6"/>
  <c r="AN35" i="6"/>
  <c r="AN34" i="6"/>
  <c r="AN29" i="6"/>
  <c r="AN32" i="6"/>
  <c r="AN31" i="6"/>
  <c r="AN30" i="6"/>
  <c r="AN10" i="6"/>
  <c r="AN26" i="6"/>
  <c r="AN25" i="6"/>
  <c r="AN24" i="6"/>
  <c r="AN18" i="6"/>
  <c r="AN21" i="6"/>
  <c r="AN20" i="6"/>
  <c r="AN19" i="6"/>
  <c r="AN12" i="6"/>
  <c r="AN13" i="6" s="1"/>
  <c r="AN14" i="6" s="1"/>
  <c r="AN15" i="6" s="1"/>
  <c r="AN16" i="6" s="1"/>
  <c r="F11" i="5" l="1"/>
  <c r="F10" i="5"/>
  <c r="F9" i="5"/>
  <c r="F8" i="5"/>
  <c r="F7" i="5"/>
  <c r="F6" i="5"/>
  <c r="F5" i="5"/>
  <c r="AC46" i="4" l="1"/>
  <c r="AC43" i="4"/>
  <c r="AC39" i="4"/>
  <c r="M47" i="4"/>
  <c r="M41" i="4"/>
  <c r="AC35" i="4"/>
  <c r="M35" i="4"/>
  <c r="AC30" i="4"/>
  <c r="AC31" i="4" s="1"/>
  <c r="M29" i="4"/>
  <c r="AC25" i="4"/>
  <c r="AC26" i="4" s="1"/>
  <c r="M23" i="4"/>
  <c r="AC20" i="4"/>
  <c r="AC21" i="4" s="1"/>
  <c r="M17" i="4"/>
  <c r="E17" i="4"/>
  <c r="E16" i="4"/>
  <c r="E15" i="4"/>
  <c r="E14" i="4"/>
  <c r="AC13" i="4"/>
  <c r="AC14" i="4" s="1"/>
  <c r="AC15" i="4" s="1"/>
  <c r="AC16" i="4" s="1"/>
  <c r="E13" i="4"/>
  <c r="AC12" i="4"/>
  <c r="E12" i="4"/>
  <c r="M11" i="4"/>
  <c r="E11" i="4"/>
  <c r="E6" i="4"/>
  <c r="E5" i="4"/>
  <c r="E4" i="4"/>
  <c r="E3" i="4"/>
  <c r="AC39" i="3"/>
  <c r="AC35" i="3"/>
  <c r="AC31" i="3"/>
  <c r="AC30" i="3"/>
  <c r="AC26" i="3"/>
  <c r="AC25" i="3"/>
  <c r="AC21" i="3"/>
  <c r="AC20" i="3"/>
  <c r="AC16" i="3"/>
  <c r="AC15" i="3"/>
  <c r="AC13" i="3"/>
  <c r="AC14" i="3"/>
  <c r="AC12" i="3"/>
  <c r="M47" i="3"/>
  <c r="M41" i="3"/>
  <c r="M35" i="3"/>
  <c r="M29" i="3"/>
  <c r="M23" i="3"/>
  <c r="M17" i="3"/>
  <c r="E17" i="3"/>
  <c r="E16" i="3"/>
  <c r="E15" i="3"/>
  <c r="E14" i="3"/>
  <c r="E13" i="3"/>
  <c r="E12" i="3"/>
  <c r="M11" i="3"/>
  <c r="E11" i="3"/>
  <c r="E6" i="3"/>
  <c r="E5" i="3"/>
  <c r="E4" i="3"/>
  <c r="E3" i="3"/>
  <c r="S16" i="1"/>
  <c r="S15" i="1"/>
  <c r="S14" i="1"/>
  <c r="S13" i="1"/>
  <c r="R6" i="1"/>
  <c r="M47" i="1"/>
  <c r="M41" i="1"/>
  <c r="M35" i="1"/>
  <c r="M29" i="1"/>
  <c r="M23" i="1"/>
  <c r="M17" i="1"/>
  <c r="M11" i="1"/>
  <c r="E17" i="1"/>
  <c r="E16" i="1"/>
  <c r="E15" i="1"/>
  <c r="E14" i="1"/>
  <c r="E13" i="1"/>
  <c r="E12" i="1"/>
  <c r="E11" i="1"/>
  <c r="E4" i="1"/>
  <c r="E5" i="1"/>
  <c r="E6" i="1"/>
  <c r="E3" i="1"/>
</calcChain>
</file>

<file path=xl/sharedStrings.xml><?xml version="1.0" encoding="utf-8"?>
<sst xmlns="http://schemas.openxmlformats.org/spreadsheetml/2006/main" count="1601" uniqueCount="139">
  <si>
    <t>5088990-1</t>
  </si>
  <si>
    <t>Schedule 1592538</t>
  </si>
  <si>
    <t>5088990-2</t>
  </si>
  <si>
    <t xml:space="preserve">QTY </t>
  </si>
  <si>
    <t>5088990-3</t>
  </si>
  <si>
    <t>5088990-4</t>
  </si>
  <si>
    <t>PW</t>
  </si>
  <si>
    <t>PH</t>
  </si>
  <si>
    <t>UH</t>
  </si>
  <si>
    <t>UW</t>
  </si>
  <si>
    <t>VPDPAH1</t>
  </si>
  <si>
    <t>VPDPAH2</t>
  </si>
  <si>
    <t>VPDPAV1</t>
  </si>
  <si>
    <t>VPDPAV2</t>
  </si>
  <si>
    <t>VPDPIH1</t>
  </si>
  <si>
    <t>VPDPIH2</t>
  </si>
  <si>
    <t>VPDPIV1</t>
  </si>
  <si>
    <t>VPDPIV2</t>
  </si>
  <si>
    <t>VPD Panel</t>
  </si>
  <si>
    <t>Active</t>
  </si>
  <si>
    <t>Inactive</t>
  </si>
  <si>
    <t>Horizontal</t>
  </si>
  <si>
    <t>Vertical</t>
  </si>
  <si>
    <t>Single Panel</t>
  </si>
  <si>
    <t>Dual Panel</t>
  </si>
  <si>
    <t>Active Horizontal</t>
  </si>
  <si>
    <t>Active Vertical</t>
  </si>
  <si>
    <t>Inactive Horizontal</t>
  </si>
  <si>
    <t>Inactive Vertical</t>
  </si>
  <si>
    <t>5088990-1-1</t>
  </si>
  <si>
    <t>5088990-1-2</t>
  </si>
  <si>
    <t>5088990-2-1</t>
  </si>
  <si>
    <t>5088990-2-2</t>
  </si>
  <si>
    <t>5088990-3-1</t>
  </si>
  <si>
    <t>5088990-4-1</t>
  </si>
  <si>
    <t>5088990-4-2</t>
  </si>
  <si>
    <t>Position in cart</t>
  </si>
  <si>
    <t>Assume 16ft sticks, all profiles</t>
  </si>
  <si>
    <t>load</t>
  </si>
  <si>
    <t>Cut</t>
  </si>
  <si>
    <t>Material left</t>
  </si>
  <si>
    <t>Cut amount</t>
  </si>
  <si>
    <t>Position</t>
  </si>
  <si>
    <t>903 Top Rail, 903 Bottom Rail, 903 Bottom rail, 903 Top Rail</t>
  </si>
  <si>
    <t>192" stock assuming</t>
  </si>
  <si>
    <t>Load</t>
  </si>
  <si>
    <t>903 Top Rail, 903 Bottom Rail, 903 Bottom Rail, 903 Top Rail</t>
  </si>
  <si>
    <t>Length</t>
  </si>
  <si>
    <t>Remaining Length</t>
  </si>
  <si>
    <t>Scrap</t>
  </si>
  <si>
    <t>903 Handle, 901 Interlock, 901 Interlock, 903 Handle</t>
  </si>
  <si>
    <t>903 Stile, 902 Lock Stile, 902 Lock Stile, 903 Stile</t>
  </si>
  <si>
    <t xml:space="preserve">Completed </t>
  </si>
  <si>
    <t>Set</t>
  </si>
  <si>
    <t>903 Top Rail, 903 Bottom Rail</t>
  </si>
  <si>
    <t>903 Handle, 901 Interlock</t>
  </si>
  <si>
    <t>903 Stile, 902 Lock Stile</t>
  </si>
  <si>
    <t>903 Handle, 901 Interlock, 902 Lock Stile, 903 Stile</t>
  </si>
  <si>
    <t>Group each component into a profileID list</t>
  </si>
  <si>
    <t>Add a HighestPosition counter for each list</t>
  </si>
  <si>
    <t>At the end of each cut, update this list's HighestPosition</t>
  </si>
  <si>
    <t>Add Position counters to each component</t>
  </si>
  <si>
    <t>Look through all lists and begin with the list with the lowest HighestPosition</t>
  </si>
  <si>
    <t>If ties, just pick the first one found</t>
  </si>
  <si>
    <t>Probs group Active Horizontal</t>
  </si>
  <si>
    <t>and Inactive Horizontal together</t>
  </si>
  <si>
    <t>If there is a pair, add to 2</t>
  </si>
  <si>
    <t>Else, add to 1</t>
  </si>
  <si>
    <t>Load raw material</t>
  </si>
  <si>
    <t>Cut until can no longer cut next part</t>
  </si>
  <si>
    <t>Make sure to remove trim during each calculation</t>
  </si>
  <si>
    <t>Update list's HighestPosition counter</t>
  </si>
  <si>
    <t>If all entries in list are completed, remove this list from search</t>
  </si>
  <si>
    <t>PH (estimated)</t>
  </si>
  <si>
    <t>PW (estimated)</t>
  </si>
  <si>
    <t>Active Horizontal parts</t>
  </si>
  <si>
    <t>Active Vertical parts</t>
  </si>
  <si>
    <t>Inactive Horizontal parts</t>
  </si>
  <si>
    <t>Inactive Vertical parts</t>
  </si>
  <si>
    <t>VPD Active Panel, Horizontal pieces, 2</t>
  </si>
  <si>
    <t>VPDPSH2</t>
  </si>
  <si>
    <t>VPD Stationary Panel, Horizontal pieces, 2</t>
  </si>
  <si>
    <t>VPD Active Panel, Vertical pieces, 2</t>
  </si>
  <si>
    <t>VPDPSV2</t>
  </si>
  <si>
    <t>VPD Stationary Panel, Vertical pieces, 2</t>
  </si>
  <si>
    <t>VPD Active Panel, Horizontal pieces, 1</t>
  </si>
  <si>
    <t>VPD Active Panel, Vertical pieces, 1</t>
  </si>
  <si>
    <t>VPDPSH1</t>
  </si>
  <si>
    <t>VPD Stationary Panel, Horizontal pieces, 1</t>
  </si>
  <si>
    <t>VPDPSV1</t>
  </si>
  <si>
    <t>VPD Stationary Panel, Vertical pieces, 1</t>
  </si>
  <si>
    <t>VPDPBV2</t>
  </si>
  <si>
    <t>VPD 1 Active Panel &amp; 1 Stationary Panel, Vertical Pieces</t>
  </si>
  <si>
    <t>VPDPBH2</t>
  </si>
  <si>
    <t>VPD 1 Active Panel &amp; 1 Stationary Panel, Horizontal Pieces</t>
  </si>
  <si>
    <t xml:space="preserve">Load </t>
  </si>
  <si>
    <t>Horizontal Cuts</t>
  </si>
  <si>
    <t>903, 903, 903, 903</t>
  </si>
  <si>
    <t>Initial trim</t>
  </si>
  <si>
    <t>In between trims</t>
  </si>
  <si>
    <t>ProfileID</t>
  </si>
  <si>
    <t xml:space="preserve">When iterating thru horizontals, </t>
  </si>
  <si>
    <t>keep iterating thru all horizontal lists til you reach end of stick</t>
  </si>
  <si>
    <t>still using position for priority</t>
  </si>
  <si>
    <t>Vertical Active Cuts</t>
  </si>
  <si>
    <t>903, 901, 901, 903</t>
  </si>
  <si>
    <t>Vertical Station Cuts</t>
  </si>
  <si>
    <t>903, 902, 902, 903</t>
  </si>
  <si>
    <t>1,2</t>
  </si>
  <si>
    <t>3,4</t>
  </si>
  <si>
    <t>903, 901, 902, 903</t>
  </si>
  <si>
    <t>Vertical Active&amp;Statio</t>
  </si>
  <si>
    <t>Order</t>
  </si>
  <si>
    <t>Component</t>
  </si>
  <si>
    <t>Transom Horizontal</t>
  </si>
  <si>
    <t>Transom Vertical</t>
  </si>
  <si>
    <t>Components</t>
  </si>
  <si>
    <t>+</t>
  </si>
  <si>
    <t>Load:</t>
  </si>
  <si>
    <t>Cut:</t>
  </si>
  <si>
    <t>Cut length</t>
  </si>
  <si>
    <t>Load: 903, 903, 903, 903 for Horizontal cuts</t>
  </si>
  <si>
    <t>&amp;</t>
  </si>
  <si>
    <t>Order1</t>
  </si>
  <si>
    <t>Postion1</t>
  </si>
  <si>
    <t>Order2</t>
  </si>
  <si>
    <t>Position2</t>
  </si>
  <si>
    <t>Load: 903, 901, 901, 903 for Vertical Active Cuts</t>
  </si>
  <si>
    <t>Remaining Length (after cut)</t>
  </si>
  <si>
    <t>Position1</t>
  </si>
  <si>
    <t>5088930-4-1</t>
  </si>
  <si>
    <t>VPAS*</t>
  </si>
  <si>
    <t>H</t>
  </si>
  <si>
    <t>W</t>
  </si>
  <si>
    <t>07688</t>
  </si>
  <si>
    <t>03556</t>
  </si>
  <si>
    <t>02956</t>
  </si>
  <si>
    <t>VPAS*0768803556</t>
  </si>
  <si>
    <t>VPAS*0768802956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</si>
</sst>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4" fillId="4" borderId="0" xfId="0" applyFont="1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0" xfId="0" applyFill="1"/>
    <xf numFmtId="0" fontId="0" fillId="3" borderId="1" xfId="0" applyFill="1" applyBorder="1"/>
    <xf numFmtId="0" fontId="0" fillId="3" borderId="6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0" applyFont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0" fillId="0" borderId="0" xfId="0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 applyFill="1" applyBorder="1"/>
    <xf numFmtId="0" fontId="0" fillId="3" borderId="4" xfId="0" applyFill="1" applyBorder="1"/>
    <xf numFmtId="0" fontId="2" fillId="3" borderId="0" xfId="0" applyFont="1" applyFill="1"/>
    <xf numFmtId="0" fontId="0" fillId="3" borderId="7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87E9-E15C-44B4-A876-3CB2FA3CC21A}">
  <dimension ref="A1:AC51"/>
  <sheetViews>
    <sheetView topLeftCell="F1" workbookViewId="0">
      <selection activeCell="I11" sqref="I11"/>
    </sheetView>
  </sheetViews>
  <sheetFormatPr defaultRowHeight="15" x14ac:dyDescent="0.25"/>
  <cols>
    <col min="1" max="1" width="15.85546875" customWidth="1"/>
    <col min="9" max="9" width="11.42578125" bestFit="1" customWidth="1"/>
    <col min="10" max="10" width="17.7109375" bestFit="1" customWidth="1"/>
    <col min="11" max="11" width="4.42578125" bestFit="1" customWidth="1"/>
    <col min="17" max="17" width="11.42578125" bestFit="1" customWidth="1"/>
    <col min="18" max="18" width="53.28515625" bestFit="1" customWidth="1"/>
    <col min="19" max="19" width="11.42578125" bestFit="1" customWidth="1"/>
    <col min="21" max="21" width="11.140625" bestFit="1" customWidth="1"/>
    <col min="23" max="23" width="9.140625" style="2"/>
    <col min="24" max="24" width="11.42578125" bestFit="1" customWidth="1"/>
    <col min="25" max="25" width="17.7109375" bestFit="1" customWidth="1"/>
  </cols>
  <sheetData>
    <row r="1" spans="1:29" x14ac:dyDescent="0.25">
      <c r="A1" t="s">
        <v>1</v>
      </c>
    </row>
    <row r="2" spans="1:29" x14ac:dyDescent="0.25">
      <c r="B2" t="s">
        <v>3</v>
      </c>
      <c r="C2" t="s">
        <v>9</v>
      </c>
      <c r="D2" t="s">
        <v>8</v>
      </c>
      <c r="E2" t="s">
        <v>6</v>
      </c>
      <c r="J2" t="s">
        <v>37</v>
      </c>
    </row>
    <row r="3" spans="1:29" x14ac:dyDescent="0.25">
      <c r="A3" t="s">
        <v>0</v>
      </c>
      <c r="B3">
        <v>2</v>
      </c>
      <c r="C3" s="1">
        <v>71.5</v>
      </c>
      <c r="D3" s="1">
        <v>79.5</v>
      </c>
      <c r="E3">
        <f>C3/2</f>
        <v>35.75</v>
      </c>
    </row>
    <row r="4" spans="1:29" x14ac:dyDescent="0.25">
      <c r="A4" t="s">
        <v>2</v>
      </c>
      <c r="B4">
        <v>2</v>
      </c>
      <c r="C4" s="1">
        <v>71.5</v>
      </c>
      <c r="D4" s="1">
        <v>79.5</v>
      </c>
      <c r="E4">
        <f t="shared" ref="E4:E6" si="0">C4/2</f>
        <v>35.75</v>
      </c>
    </row>
    <row r="5" spans="1:29" x14ac:dyDescent="0.25">
      <c r="A5" t="s">
        <v>4</v>
      </c>
      <c r="B5">
        <v>1</v>
      </c>
      <c r="C5" s="1">
        <v>71.5</v>
      </c>
      <c r="D5" s="1">
        <v>79.5</v>
      </c>
      <c r="E5">
        <f t="shared" si="0"/>
        <v>35.75</v>
      </c>
    </row>
    <row r="6" spans="1:29" x14ac:dyDescent="0.25">
      <c r="A6" t="s">
        <v>5</v>
      </c>
      <c r="B6">
        <v>2</v>
      </c>
      <c r="C6" s="1">
        <v>59.5</v>
      </c>
      <c r="D6" s="1">
        <v>79.5</v>
      </c>
      <c r="E6">
        <f t="shared" si="0"/>
        <v>29.75</v>
      </c>
      <c r="R6">
        <f>16*12</f>
        <v>192</v>
      </c>
    </row>
    <row r="7" spans="1:29" x14ac:dyDescent="0.25">
      <c r="N7" t="s">
        <v>36</v>
      </c>
    </row>
    <row r="9" spans="1:29" x14ac:dyDescent="0.25">
      <c r="K9" t="s">
        <v>9</v>
      </c>
      <c r="L9" t="s">
        <v>8</v>
      </c>
      <c r="M9" t="s">
        <v>6</v>
      </c>
    </row>
    <row r="11" spans="1:29" x14ac:dyDescent="0.25">
      <c r="A11" t="s">
        <v>29</v>
      </c>
      <c r="C11" s="1">
        <v>71.5</v>
      </c>
      <c r="D11" s="1">
        <v>79.5</v>
      </c>
      <c r="E11">
        <f>C11/2</f>
        <v>35.75</v>
      </c>
      <c r="I11" t="s">
        <v>29</v>
      </c>
      <c r="K11" s="1">
        <v>71.5</v>
      </c>
      <c r="L11" s="1">
        <v>79.5</v>
      </c>
      <c r="M11">
        <f>K11/2</f>
        <v>35.75</v>
      </c>
      <c r="S11" t="s">
        <v>40</v>
      </c>
      <c r="U11" t="s">
        <v>41</v>
      </c>
      <c r="V11" t="s">
        <v>42</v>
      </c>
    </row>
    <row r="12" spans="1:29" x14ac:dyDescent="0.25">
      <c r="A12" t="s">
        <v>30</v>
      </c>
      <c r="C12" s="1">
        <v>71.5</v>
      </c>
      <c r="D12" s="1">
        <v>79.5</v>
      </c>
      <c r="E12">
        <f>C12/2</f>
        <v>35.75</v>
      </c>
      <c r="I12" s="3" t="s">
        <v>29</v>
      </c>
      <c r="J12" t="s">
        <v>25</v>
      </c>
      <c r="M12">
        <v>35.75</v>
      </c>
      <c r="N12">
        <v>1</v>
      </c>
      <c r="P12" t="s">
        <v>38</v>
      </c>
      <c r="R12" t="s">
        <v>43</v>
      </c>
      <c r="S12">
        <v>192</v>
      </c>
    </row>
    <row r="13" spans="1:29" x14ac:dyDescent="0.25">
      <c r="A13" t="s">
        <v>31</v>
      </c>
      <c r="C13" s="1">
        <v>71.5</v>
      </c>
      <c r="D13" s="1">
        <v>79.5</v>
      </c>
      <c r="E13">
        <f t="shared" ref="E13:E16" si="1">C13/2</f>
        <v>35.75</v>
      </c>
      <c r="I13" t="s">
        <v>29</v>
      </c>
      <c r="J13" t="s">
        <v>26</v>
      </c>
      <c r="M13">
        <v>79.5</v>
      </c>
      <c r="N13">
        <v>1</v>
      </c>
      <c r="P13" t="s">
        <v>39</v>
      </c>
      <c r="Q13" t="s">
        <v>29</v>
      </c>
      <c r="R13" t="s">
        <v>25</v>
      </c>
      <c r="S13">
        <f>S12-U13</f>
        <v>156.25</v>
      </c>
      <c r="U13">
        <v>35.75</v>
      </c>
      <c r="V13">
        <v>1</v>
      </c>
      <c r="X13" t="s">
        <v>30</v>
      </c>
      <c r="Y13" t="s">
        <v>25</v>
      </c>
      <c r="AB13">
        <v>35.75</v>
      </c>
      <c r="AC13">
        <v>2</v>
      </c>
    </row>
    <row r="14" spans="1:29" x14ac:dyDescent="0.25">
      <c r="A14" t="s">
        <v>32</v>
      </c>
      <c r="C14" s="1">
        <v>71.5</v>
      </c>
      <c r="D14" s="1">
        <v>79.5</v>
      </c>
      <c r="E14">
        <f t="shared" si="1"/>
        <v>35.75</v>
      </c>
      <c r="I14" s="3" t="s">
        <v>29</v>
      </c>
      <c r="J14" t="s">
        <v>27</v>
      </c>
      <c r="M14">
        <v>35.75</v>
      </c>
      <c r="N14">
        <v>1</v>
      </c>
      <c r="Q14" t="s">
        <v>29</v>
      </c>
      <c r="R14" t="s">
        <v>27</v>
      </c>
      <c r="S14">
        <f>S13-U14</f>
        <v>120.5</v>
      </c>
      <c r="U14">
        <v>35.75</v>
      </c>
      <c r="V14">
        <v>1</v>
      </c>
      <c r="X14" t="s">
        <v>30</v>
      </c>
      <c r="Y14" t="s">
        <v>27</v>
      </c>
      <c r="AB14">
        <v>35.75</v>
      </c>
      <c r="AC14">
        <v>2</v>
      </c>
    </row>
    <row r="15" spans="1:29" x14ac:dyDescent="0.25">
      <c r="A15" t="s">
        <v>33</v>
      </c>
      <c r="C15" s="1">
        <v>71.5</v>
      </c>
      <c r="D15" s="1">
        <v>79.5</v>
      </c>
      <c r="E15">
        <f t="shared" si="1"/>
        <v>35.75</v>
      </c>
      <c r="I15" t="s">
        <v>29</v>
      </c>
      <c r="J15" t="s">
        <v>28</v>
      </c>
      <c r="M15">
        <v>79.5</v>
      </c>
      <c r="N15">
        <v>1</v>
      </c>
      <c r="Q15" t="s">
        <v>31</v>
      </c>
      <c r="R15" t="s">
        <v>25</v>
      </c>
      <c r="S15">
        <f>S14-U15</f>
        <v>84.75</v>
      </c>
      <c r="U15">
        <v>35.75</v>
      </c>
      <c r="V15">
        <v>3</v>
      </c>
      <c r="X15" t="s">
        <v>32</v>
      </c>
      <c r="Y15" t="s">
        <v>25</v>
      </c>
      <c r="AB15">
        <v>35.75</v>
      </c>
      <c r="AC15">
        <v>4</v>
      </c>
    </row>
    <row r="16" spans="1:29" x14ac:dyDescent="0.25">
      <c r="A16" t="s">
        <v>34</v>
      </c>
      <c r="C16" s="1">
        <v>59.5</v>
      </c>
      <c r="D16" s="1">
        <v>79.5</v>
      </c>
      <c r="E16">
        <f t="shared" si="1"/>
        <v>29.75</v>
      </c>
      <c r="Q16" t="s">
        <v>31</v>
      </c>
      <c r="R16" t="s">
        <v>27</v>
      </c>
      <c r="S16">
        <f>S15-U16</f>
        <v>49</v>
      </c>
      <c r="U16">
        <v>35.75</v>
      </c>
      <c r="V16">
        <v>3</v>
      </c>
      <c r="X16" t="s">
        <v>32</v>
      </c>
      <c r="Y16" t="s">
        <v>27</v>
      </c>
      <c r="AB16">
        <v>35.75</v>
      </c>
      <c r="AC16">
        <v>4</v>
      </c>
    </row>
    <row r="17" spans="1:22" x14ac:dyDescent="0.25">
      <c r="A17" t="s">
        <v>35</v>
      </c>
      <c r="C17" s="1">
        <v>59.5</v>
      </c>
      <c r="D17" s="1">
        <v>79.5</v>
      </c>
      <c r="E17">
        <f t="shared" ref="E17" si="2">C17/2</f>
        <v>29.75</v>
      </c>
      <c r="I17" t="s">
        <v>30</v>
      </c>
      <c r="K17" s="1">
        <v>71.5</v>
      </c>
      <c r="L17" s="1">
        <v>79.5</v>
      </c>
      <c r="M17">
        <f>K17/2</f>
        <v>35.75</v>
      </c>
      <c r="Q17" s="4" t="s">
        <v>33</v>
      </c>
      <c r="R17" s="4" t="s">
        <v>25</v>
      </c>
      <c r="S17" s="4">
        <v>49</v>
      </c>
      <c r="T17" s="4"/>
      <c r="U17" s="4">
        <v>35.75</v>
      </c>
      <c r="V17" s="4">
        <v>5</v>
      </c>
    </row>
    <row r="18" spans="1:22" x14ac:dyDescent="0.25">
      <c r="I18" s="3" t="s">
        <v>30</v>
      </c>
      <c r="J18" t="s">
        <v>25</v>
      </c>
      <c r="M18">
        <v>35.75</v>
      </c>
      <c r="N18">
        <v>2</v>
      </c>
    </row>
    <row r="19" spans="1:22" x14ac:dyDescent="0.25">
      <c r="I19" t="s">
        <v>30</v>
      </c>
      <c r="J19" t="s">
        <v>26</v>
      </c>
      <c r="M19">
        <v>79.5</v>
      </c>
      <c r="N19">
        <v>2</v>
      </c>
    </row>
    <row r="20" spans="1:22" x14ac:dyDescent="0.25">
      <c r="I20" s="3" t="s">
        <v>30</v>
      </c>
      <c r="J20" t="s">
        <v>27</v>
      </c>
      <c r="M20">
        <v>35.75</v>
      </c>
      <c r="N20">
        <v>2</v>
      </c>
    </row>
    <row r="21" spans="1:22" x14ac:dyDescent="0.25">
      <c r="I21" t="s">
        <v>30</v>
      </c>
      <c r="J21" t="s">
        <v>28</v>
      </c>
      <c r="M21">
        <v>79.5</v>
      </c>
      <c r="N21">
        <v>2</v>
      </c>
    </row>
    <row r="23" spans="1:22" x14ac:dyDescent="0.25">
      <c r="I23" t="s">
        <v>31</v>
      </c>
      <c r="K23" s="1">
        <v>71.5</v>
      </c>
      <c r="L23" s="1">
        <v>79.5</v>
      </c>
      <c r="M23">
        <f>K23/2</f>
        <v>35.75</v>
      </c>
    </row>
    <row r="24" spans="1:22" x14ac:dyDescent="0.25">
      <c r="I24" s="3" t="s">
        <v>31</v>
      </c>
      <c r="J24" t="s">
        <v>25</v>
      </c>
      <c r="M24">
        <v>35.75</v>
      </c>
      <c r="N24">
        <v>3</v>
      </c>
    </row>
    <row r="25" spans="1:22" x14ac:dyDescent="0.25">
      <c r="I25" t="s">
        <v>31</v>
      </c>
      <c r="J25" t="s">
        <v>26</v>
      </c>
      <c r="M25">
        <v>79.5</v>
      </c>
      <c r="N25">
        <v>3</v>
      </c>
    </row>
    <row r="26" spans="1:22" x14ac:dyDescent="0.25">
      <c r="I26" s="3" t="s">
        <v>31</v>
      </c>
      <c r="J26" t="s">
        <v>27</v>
      </c>
      <c r="M26">
        <v>35.75</v>
      </c>
      <c r="N26">
        <v>3</v>
      </c>
    </row>
    <row r="27" spans="1:22" x14ac:dyDescent="0.25">
      <c r="I27" t="s">
        <v>31</v>
      </c>
      <c r="J27" t="s">
        <v>28</v>
      </c>
      <c r="M27">
        <v>79.5</v>
      </c>
      <c r="N27">
        <v>3</v>
      </c>
    </row>
    <row r="29" spans="1:22" x14ac:dyDescent="0.25">
      <c r="I29" t="s">
        <v>32</v>
      </c>
      <c r="K29" s="1">
        <v>71.5</v>
      </c>
      <c r="L29" s="1">
        <v>79.5</v>
      </c>
      <c r="M29">
        <f>K29/2</f>
        <v>35.75</v>
      </c>
    </row>
    <row r="30" spans="1:22" x14ac:dyDescent="0.25">
      <c r="I30" s="3" t="s">
        <v>32</v>
      </c>
      <c r="J30" t="s">
        <v>25</v>
      </c>
      <c r="M30">
        <v>35.75</v>
      </c>
      <c r="N30">
        <v>4</v>
      </c>
    </row>
    <row r="31" spans="1:22" x14ac:dyDescent="0.25">
      <c r="I31" t="s">
        <v>32</v>
      </c>
      <c r="J31" t="s">
        <v>26</v>
      </c>
      <c r="M31">
        <v>79.5</v>
      </c>
      <c r="N31">
        <v>4</v>
      </c>
    </row>
    <row r="32" spans="1:22" x14ac:dyDescent="0.25">
      <c r="I32" s="3" t="s">
        <v>32</v>
      </c>
      <c r="J32" t="s">
        <v>27</v>
      </c>
      <c r="M32">
        <v>35.75</v>
      </c>
      <c r="N32">
        <v>4</v>
      </c>
    </row>
    <row r="33" spans="9:14" x14ac:dyDescent="0.25">
      <c r="I33" t="s">
        <v>32</v>
      </c>
      <c r="J33" t="s">
        <v>28</v>
      </c>
      <c r="M33">
        <v>79.5</v>
      </c>
      <c r="N33">
        <v>4</v>
      </c>
    </row>
    <row r="35" spans="9:14" x14ac:dyDescent="0.25">
      <c r="I35" t="s">
        <v>33</v>
      </c>
      <c r="K35" s="1">
        <v>71.5</v>
      </c>
      <c r="L35" s="1">
        <v>79.5</v>
      </c>
      <c r="M35">
        <f>K35/2</f>
        <v>35.75</v>
      </c>
    </row>
    <row r="36" spans="9:14" x14ac:dyDescent="0.25">
      <c r="I36" t="s">
        <v>33</v>
      </c>
      <c r="J36" t="s">
        <v>25</v>
      </c>
      <c r="M36">
        <v>35.75</v>
      </c>
      <c r="N36">
        <v>5</v>
      </c>
    </row>
    <row r="37" spans="9:14" x14ac:dyDescent="0.25">
      <c r="I37" t="s">
        <v>33</v>
      </c>
      <c r="J37" t="s">
        <v>26</v>
      </c>
      <c r="M37">
        <v>79.5</v>
      </c>
      <c r="N37">
        <v>5</v>
      </c>
    </row>
    <row r="38" spans="9:14" x14ac:dyDescent="0.25">
      <c r="I38" t="s">
        <v>33</v>
      </c>
      <c r="J38" t="s">
        <v>27</v>
      </c>
      <c r="M38">
        <v>35.75</v>
      </c>
      <c r="N38">
        <v>5</v>
      </c>
    </row>
    <row r="39" spans="9:14" x14ac:dyDescent="0.25">
      <c r="I39" t="s">
        <v>33</v>
      </c>
      <c r="J39" t="s">
        <v>28</v>
      </c>
      <c r="M39">
        <v>79.5</v>
      </c>
      <c r="N39">
        <v>5</v>
      </c>
    </row>
    <row r="41" spans="9:14" x14ac:dyDescent="0.25">
      <c r="I41" t="s">
        <v>34</v>
      </c>
      <c r="K41" s="1">
        <v>59.5</v>
      </c>
      <c r="L41" s="1">
        <v>79.5</v>
      </c>
      <c r="M41">
        <f>K41/2</f>
        <v>29.75</v>
      </c>
    </row>
    <row r="42" spans="9:14" x14ac:dyDescent="0.25">
      <c r="I42" t="s">
        <v>34</v>
      </c>
      <c r="J42" t="s">
        <v>25</v>
      </c>
      <c r="M42">
        <v>29.75</v>
      </c>
      <c r="N42">
        <v>6</v>
      </c>
    </row>
    <row r="43" spans="9:14" x14ac:dyDescent="0.25">
      <c r="I43" t="s">
        <v>34</v>
      </c>
      <c r="J43" t="s">
        <v>26</v>
      </c>
      <c r="M43">
        <v>79.5</v>
      </c>
      <c r="N43">
        <v>6</v>
      </c>
    </row>
    <row r="44" spans="9:14" x14ac:dyDescent="0.25">
      <c r="I44" t="s">
        <v>34</v>
      </c>
      <c r="J44" t="s">
        <v>27</v>
      </c>
      <c r="M44">
        <v>29.75</v>
      </c>
      <c r="N44">
        <v>6</v>
      </c>
    </row>
    <row r="45" spans="9:14" x14ac:dyDescent="0.25">
      <c r="I45" t="s">
        <v>34</v>
      </c>
      <c r="J45" t="s">
        <v>28</v>
      </c>
      <c r="M45">
        <v>79.5</v>
      </c>
      <c r="N45">
        <v>6</v>
      </c>
    </row>
    <row r="47" spans="9:14" x14ac:dyDescent="0.25">
      <c r="I47" t="s">
        <v>35</v>
      </c>
      <c r="K47" s="1">
        <v>59.5</v>
      </c>
      <c r="L47" s="1">
        <v>79.5</v>
      </c>
      <c r="M47">
        <f>K47/2</f>
        <v>29.75</v>
      </c>
    </row>
    <row r="48" spans="9:14" x14ac:dyDescent="0.25">
      <c r="I48" t="s">
        <v>35</v>
      </c>
      <c r="J48" t="s">
        <v>25</v>
      </c>
      <c r="M48">
        <v>29.75</v>
      </c>
      <c r="N48">
        <v>7</v>
      </c>
    </row>
    <row r="49" spans="9:14" x14ac:dyDescent="0.25">
      <c r="I49" t="s">
        <v>35</v>
      </c>
      <c r="J49" t="s">
        <v>26</v>
      </c>
      <c r="M49">
        <v>79.5</v>
      </c>
      <c r="N49">
        <v>7</v>
      </c>
    </row>
    <row r="50" spans="9:14" x14ac:dyDescent="0.25">
      <c r="I50" t="s">
        <v>35</v>
      </c>
      <c r="J50" t="s">
        <v>27</v>
      </c>
      <c r="M50">
        <v>29.75</v>
      </c>
      <c r="N50">
        <v>7</v>
      </c>
    </row>
    <row r="51" spans="9:14" x14ac:dyDescent="0.25">
      <c r="I51" t="s">
        <v>35</v>
      </c>
      <c r="J51" t="s">
        <v>28</v>
      </c>
      <c r="M51">
        <v>79.5</v>
      </c>
      <c r="N5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4A91-7F3B-4465-978A-1B6A62017F46}">
  <dimension ref="B4:G11"/>
  <sheetViews>
    <sheetView workbookViewId="0">
      <selection activeCell="B4" sqref="B4:B11"/>
    </sheetView>
  </sheetViews>
  <sheetFormatPr defaultRowHeight="15" x14ac:dyDescent="0.25"/>
  <cols>
    <col min="4" max="4" width="10.28515625" customWidth="1"/>
    <col min="6" max="6" width="10.140625" bestFit="1" customWidth="1"/>
    <col min="7" max="8" width="14.85546875" customWidth="1"/>
  </cols>
  <sheetData>
    <row r="4" spans="2:7" x14ac:dyDescent="0.25">
      <c r="B4" t="s">
        <v>10</v>
      </c>
      <c r="D4" t="s">
        <v>18</v>
      </c>
      <c r="E4" t="s">
        <v>19</v>
      </c>
      <c r="F4" t="s">
        <v>21</v>
      </c>
      <c r="G4" t="s">
        <v>23</v>
      </c>
    </row>
    <row r="5" spans="2:7" x14ac:dyDescent="0.25">
      <c r="B5" t="s">
        <v>11</v>
      </c>
      <c r="D5" t="s">
        <v>18</v>
      </c>
      <c r="E5" t="s">
        <v>19</v>
      </c>
      <c r="F5" t="s">
        <v>21</v>
      </c>
      <c r="G5" t="s">
        <v>24</v>
      </c>
    </row>
    <row r="6" spans="2:7" x14ac:dyDescent="0.25">
      <c r="B6" t="s">
        <v>12</v>
      </c>
      <c r="D6" t="s">
        <v>18</v>
      </c>
      <c r="E6" t="s">
        <v>19</v>
      </c>
      <c r="F6" t="s">
        <v>22</v>
      </c>
      <c r="G6" t="s">
        <v>23</v>
      </c>
    </row>
    <row r="7" spans="2:7" x14ac:dyDescent="0.25">
      <c r="B7" t="s">
        <v>13</v>
      </c>
      <c r="D7" t="s">
        <v>18</v>
      </c>
      <c r="E7" t="s">
        <v>19</v>
      </c>
      <c r="F7" t="s">
        <v>22</v>
      </c>
      <c r="G7" t="s">
        <v>24</v>
      </c>
    </row>
    <row r="8" spans="2:7" x14ac:dyDescent="0.25">
      <c r="B8" t="s">
        <v>14</v>
      </c>
      <c r="D8" t="s">
        <v>18</v>
      </c>
      <c r="E8" t="s">
        <v>20</v>
      </c>
      <c r="F8" t="s">
        <v>21</v>
      </c>
      <c r="G8" t="s">
        <v>23</v>
      </c>
    </row>
    <row r="9" spans="2:7" x14ac:dyDescent="0.25">
      <c r="B9" t="s">
        <v>15</v>
      </c>
      <c r="D9" t="s">
        <v>18</v>
      </c>
      <c r="E9" t="s">
        <v>20</v>
      </c>
      <c r="F9" t="s">
        <v>21</v>
      </c>
      <c r="G9" t="s">
        <v>24</v>
      </c>
    </row>
    <row r="10" spans="2:7" x14ac:dyDescent="0.25">
      <c r="B10" t="s">
        <v>16</v>
      </c>
      <c r="D10" t="s">
        <v>18</v>
      </c>
      <c r="E10" t="s">
        <v>20</v>
      </c>
      <c r="F10" t="s">
        <v>22</v>
      </c>
      <c r="G10" t="s">
        <v>23</v>
      </c>
    </row>
    <row r="11" spans="2:7" x14ac:dyDescent="0.25">
      <c r="B11" t="s">
        <v>17</v>
      </c>
      <c r="D11" t="s">
        <v>18</v>
      </c>
      <c r="E11" t="s">
        <v>20</v>
      </c>
      <c r="F11" t="s">
        <v>22</v>
      </c>
      <c r="G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779A-2C31-40C2-A0BB-CB9A094526E2}">
  <dimension ref="A1:AO53"/>
  <sheetViews>
    <sheetView topLeftCell="O13" workbookViewId="0">
      <selection activeCell="Z51" sqref="Z51"/>
    </sheetView>
  </sheetViews>
  <sheetFormatPr defaultRowHeight="15" x14ac:dyDescent="0.25"/>
  <cols>
    <col min="1" max="1" width="15.85546875" customWidth="1"/>
    <col min="9" max="9" width="11.42578125" bestFit="1" customWidth="1"/>
    <col min="10" max="10" width="17.7109375" bestFit="1" customWidth="1"/>
    <col min="11" max="11" width="4.42578125" bestFit="1" customWidth="1"/>
    <col min="17" max="18" width="11.42578125" bestFit="1" customWidth="1"/>
    <col min="20" max="20" width="11.140625" bestFit="1" customWidth="1"/>
    <col min="21" max="21" width="11.7109375" bestFit="1" customWidth="1"/>
    <col min="22" max="22" width="11.42578125" bestFit="1" customWidth="1"/>
    <col min="23" max="23" width="17.7109375" bestFit="1" customWidth="1"/>
    <col min="26" max="26" width="12.5703125" customWidth="1"/>
    <col min="32" max="32" width="9.140625" style="15"/>
  </cols>
  <sheetData>
    <row r="1" spans="1:40" x14ac:dyDescent="0.25">
      <c r="A1" t="s">
        <v>1</v>
      </c>
    </row>
    <row r="2" spans="1:40" x14ac:dyDescent="0.25">
      <c r="B2" t="s">
        <v>3</v>
      </c>
      <c r="C2" t="s">
        <v>9</v>
      </c>
      <c r="D2" t="s">
        <v>8</v>
      </c>
      <c r="E2" t="s">
        <v>6</v>
      </c>
      <c r="J2" t="s">
        <v>37</v>
      </c>
    </row>
    <row r="3" spans="1:40" x14ac:dyDescent="0.25">
      <c r="A3" t="s">
        <v>0</v>
      </c>
      <c r="B3">
        <v>2</v>
      </c>
      <c r="C3" s="1">
        <v>71.5</v>
      </c>
      <c r="D3" s="1">
        <v>79.5</v>
      </c>
      <c r="E3">
        <f>C3/2</f>
        <v>35.75</v>
      </c>
    </row>
    <row r="4" spans="1:40" x14ac:dyDescent="0.25">
      <c r="A4" t="s">
        <v>2</v>
      </c>
      <c r="B4">
        <v>2</v>
      </c>
      <c r="C4" s="1">
        <v>71.5</v>
      </c>
      <c r="D4" s="1">
        <v>79.5</v>
      </c>
      <c r="E4">
        <f t="shared" ref="E4:E6" si="0">C4/2</f>
        <v>35.75</v>
      </c>
      <c r="W4" t="s">
        <v>44</v>
      </c>
    </row>
    <row r="5" spans="1:40" x14ac:dyDescent="0.25">
      <c r="A5" t="s">
        <v>4</v>
      </c>
      <c r="B5">
        <v>1</v>
      </c>
      <c r="C5" s="1">
        <v>71.5</v>
      </c>
      <c r="D5" s="1">
        <v>79.5</v>
      </c>
      <c r="E5">
        <f t="shared" si="0"/>
        <v>35.75</v>
      </c>
    </row>
    <row r="6" spans="1:40" x14ac:dyDescent="0.25">
      <c r="A6" t="s">
        <v>5</v>
      </c>
      <c r="B6">
        <v>2</v>
      </c>
      <c r="C6" s="1">
        <v>59.5</v>
      </c>
      <c r="D6" s="1">
        <v>79.5</v>
      </c>
      <c r="E6">
        <f t="shared" si="0"/>
        <v>29.75</v>
      </c>
    </row>
    <row r="7" spans="1:40" x14ac:dyDescent="0.25">
      <c r="N7" t="s">
        <v>36</v>
      </c>
    </row>
    <row r="9" spans="1:40" x14ac:dyDescent="0.25">
      <c r="K9" t="s">
        <v>9</v>
      </c>
      <c r="L9" t="s">
        <v>8</v>
      </c>
      <c r="M9" t="s">
        <v>6</v>
      </c>
      <c r="AA9" t="s">
        <v>47</v>
      </c>
      <c r="AN9" t="s">
        <v>52</v>
      </c>
    </row>
    <row r="10" spans="1:40" x14ac:dyDescent="0.25">
      <c r="AC10" t="s">
        <v>48</v>
      </c>
      <c r="AN10" t="s">
        <v>53</v>
      </c>
    </row>
    <row r="11" spans="1:40" x14ac:dyDescent="0.25">
      <c r="A11" t="s">
        <v>29</v>
      </c>
      <c r="C11" s="1">
        <v>71.5</v>
      </c>
      <c r="D11" s="1">
        <v>79.5</v>
      </c>
      <c r="E11">
        <f>C11/2</f>
        <v>35.75</v>
      </c>
      <c r="I11" t="s">
        <v>29</v>
      </c>
      <c r="K11" s="1">
        <v>71.5</v>
      </c>
      <c r="L11" s="1">
        <v>79.5</v>
      </c>
      <c r="M11">
        <f>K11/2</f>
        <v>35.75</v>
      </c>
      <c r="Q11" s="7" t="s">
        <v>11</v>
      </c>
      <c r="R11" s="8" t="s">
        <v>18</v>
      </c>
      <c r="S11" s="8" t="s">
        <v>19</v>
      </c>
      <c r="T11" s="8" t="s">
        <v>21</v>
      </c>
      <c r="U11" s="8" t="s">
        <v>24</v>
      </c>
      <c r="V11" s="9"/>
      <c r="Y11" t="s">
        <v>45</v>
      </c>
      <c r="Z11" t="s">
        <v>46</v>
      </c>
      <c r="AC11">
        <v>192</v>
      </c>
    </row>
    <row r="12" spans="1:40" x14ac:dyDescent="0.25">
      <c r="A12" t="s">
        <v>30</v>
      </c>
      <c r="C12" s="1">
        <v>71.5</v>
      </c>
      <c r="D12" s="1">
        <v>79.5</v>
      </c>
      <c r="E12">
        <f>C12/2</f>
        <v>35.75</v>
      </c>
      <c r="H12" s="5"/>
      <c r="I12" t="s">
        <v>29</v>
      </c>
      <c r="J12" t="s">
        <v>25</v>
      </c>
      <c r="M12">
        <v>35.75</v>
      </c>
      <c r="N12">
        <v>1</v>
      </c>
      <c r="Q12" s="16" t="s">
        <v>29</v>
      </c>
      <c r="R12" s="8" t="s">
        <v>25</v>
      </c>
      <c r="S12" s="8"/>
      <c r="T12" s="8"/>
      <c r="U12" s="8">
        <v>35.75</v>
      </c>
      <c r="V12" s="9">
        <v>1</v>
      </c>
      <c r="Y12" t="s">
        <v>39</v>
      </c>
      <c r="Z12" s="7" t="s">
        <v>29</v>
      </c>
      <c r="AA12" s="8" t="s">
        <v>25</v>
      </c>
      <c r="AB12" s="8"/>
      <c r="AC12" s="8">
        <f>AC11-AD12</f>
        <v>156.25</v>
      </c>
      <c r="AD12" s="8">
        <v>35.75</v>
      </c>
      <c r="AE12" s="9">
        <v>1</v>
      </c>
      <c r="AG12" s="12" t="s">
        <v>30</v>
      </c>
      <c r="AH12" s="13" t="s">
        <v>25</v>
      </c>
      <c r="AI12" s="13"/>
      <c r="AJ12" s="13"/>
      <c r="AK12" s="13">
        <v>35.75</v>
      </c>
      <c r="AL12" s="14">
        <v>2</v>
      </c>
    </row>
    <row r="13" spans="1:40" x14ac:dyDescent="0.25">
      <c r="A13" t="s">
        <v>31</v>
      </c>
      <c r="C13" s="1">
        <v>71.5</v>
      </c>
      <c r="D13" s="1">
        <v>79.5</v>
      </c>
      <c r="E13">
        <f t="shared" ref="E13:E17" si="1">C13/2</f>
        <v>35.75</v>
      </c>
      <c r="H13" s="6"/>
      <c r="I13" t="s">
        <v>29</v>
      </c>
      <c r="J13" t="s">
        <v>26</v>
      </c>
      <c r="M13">
        <v>79.5</v>
      </c>
      <c r="N13">
        <v>1</v>
      </c>
      <c r="Q13" s="17" t="s">
        <v>30</v>
      </c>
      <c r="R13" s="13" t="s">
        <v>25</v>
      </c>
      <c r="S13" s="13"/>
      <c r="T13" s="13"/>
      <c r="U13" s="13">
        <v>35.75</v>
      </c>
      <c r="V13" s="14">
        <v>2</v>
      </c>
      <c r="Z13" s="7" t="s">
        <v>29</v>
      </c>
      <c r="AA13" s="8" t="s">
        <v>27</v>
      </c>
      <c r="AB13" s="8"/>
      <c r="AC13" s="8">
        <f t="shared" ref="AC13:AC16" si="2">AC12-AD13</f>
        <v>120.5</v>
      </c>
      <c r="AD13" s="8">
        <v>35.75</v>
      </c>
      <c r="AE13" s="9">
        <v>1</v>
      </c>
      <c r="AG13" s="12" t="s">
        <v>30</v>
      </c>
      <c r="AH13" s="13" t="s">
        <v>27</v>
      </c>
      <c r="AI13" s="13"/>
      <c r="AJ13" s="13"/>
      <c r="AK13" s="13">
        <v>35.75</v>
      </c>
      <c r="AL13" s="14">
        <v>2</v>
      </c>
    </row>
    <row r="14" spans="1:40" x14ac:dyDescent="0.25">
      <c r="A14" t="s">
        <v>32</v>
      </c>
      <c r="C14" s="1">
        <v>71.5</v>
      </c>
      <c r="D14" s="1">
        <v>79.5</v>
      </c>
      <c r="E14">
        <f t="shared" si="1"/>
        <v>35.75</v>
      </c>
      <c r="H14" s="6"/>
      <c r="I14" t="s">
        <v>29</v>
      </c>
      <c r="J14" t="s">
        <v>27</v>
      </c>
      <c r="M14">
        <v>35.75</v>
      </c>
      <c r="N14">
        <v>1</v>
      </c>
      <c r="Q14" s="16" t="s">
        <v>31</v>
      </c>
      <c r="R14" s="8" t="s">
        <v>25</v>
      </c>
      <c r="S14" s="8"/>
      <c r="T14" s="8"/>
      <c r="U14" s="8">
        <v>35.75</v>
      </c>
      <c r="V14" s="9">
        <v>3</v>
      </c>
      <c r="Z14" s="7" t="s">
        <v>31</v>
      </c>
      <c r="AA14" s="8" t="s">
        <v>25</v>
      </c>
      <c r="AB14" s="8"/>
      <c r="AC14" s="8">
        <f t="shared" si="2"/>
        <v>84.75</v>
      </c>
      <c r="AD14" s="8">
        <v>35.75</v>
      </c>
      <c r="AE14" s="9">
        <v>3</v>
      </c>
      <c r="AG14" s="12" t="s">
        <v>32</v>
      </c>
      <c r="AH14" s="13" t="s">
        <v>25</v>
      </c>
      <c r="AI14" s="13"/>
      <c r="AJ14" s="13"/>
      <c r="AK14" s="13">
        <v>35.75</v>
      </c>
      <c r="AL14" s="14">
        <v>4</v>
      </c>
    </row>
    <row r="15" spans="1:40" x14ac:dyDescent="0.25">
      <c r="A15" t="s">
        <v>33</v>
      </c>
      <c r="C15" s="1">
        <v>71.5</v>
      </c>
      <c r="D15" s="1">
        <v>79.5</v>
      </c>
      <c r="E15">
        <f t="shared" si="1"/>
        <v>35.75</v>
      </c>
      <c r="H15" s="6"/>
      <c r="I15" t="s">
        <v>29</v>
      </c>
      <c r="J15" t="s">
        <v>28</v>
      </c>
      <c r="M15">
        <v>79.5</v>
      </c>
      <c r="N15">
        <v>1</v>
      </c>
      <c r="Q15" s="17" t="s">
        <v>32</v>
      </c>
      <c r="R15" s="13" t="s">
        <v>25</v>
      </c>
      <c r="S15" s="13"/>
      <c r="T15" s="13"/>
      <c r="U15" s="13">
        <v>35.75</v>
      </c>
      <c r="V15" s="14">
        <v>4</v>
      </c>
      <c r="Z15" s="7" t="s">
        <v>31</v>
      </c>
      <c r="AA15" s="8" t="s">
        <v>27</v>
      </c>
      <c r="AB15" s="8"/>
      <c r="AC15" s="8">
        <f t="shared" si="2"/>
        <v>49</v>
      </c>
      <c r="AD15" s="8">
        <v>35.75</v>
      </c>
      <c r="AE15" s="9">
        <v>3</v>
      </c>
      <c r="AG15" s="12" t="s">
        <v>32</v>
      </c>
      <c r="AH15" s="13" t="s">
        <v>27</v>
      </c>
      <c r="AI15" s="13"/>
      <c r="AJ15" s="13"/>
      <c r="AK15" s="13">
        <v>35.75</v>
      </c>
      <c r="AL15" s="14">
        <v>4</v>
      </c>
    </row>
    <row r="16" spans="1:40" x14ac:dyDescent="0.25">
      <c r="A16" t="s">
        <v>34</v>
      </c>
      <c r="C16" s="1">
        <v>59.5</v>
      </c>
      <c r="D16" s="1">
        <v>79.5</v>
      </c>
      <c r="E16">
        <f t="shared" si="1"/>
        <v>29.75</v>
      </c>
      <c r="Q16" s="16" t="s">
        <v>34</v>
      </c>
      <c r="R16" s="8" t="s">
        <v>25</v>
      </c>
      <c r="S16" s="8"/>
      <c r="T16" s="8"/>
      <c r="U16" s="8">
        <v>29.75</v>
      </c>
      <c r="V16" s="9">
        <v>6</v>
      </c>
      <c r="Z16" s="7" t="s">
        <v>34</v>
      </c>
      <c r="AA16" s="8" t="s">
        <v>25</v>
      </c>
      <c r="AB16" s="8"/>
      <c r="AC16" s="8">
        <f t="shared" si="2"/>
        <v>19.25</v>
      </c>
      <c r="AD16" s="8">
        <v>29.75</v>
      </c>
      <c r="AE16" s="9">
        <v>6</v>
      </c>
      <c r="AG16" s="12" t="s">
        <v>35</v>
      </c>
      <c r="AH16" s="13" t="s">
        <v>25</v>
      </c>
      <c r="AI16" s="13"/>
      <c r="AJ16" s="13"/>
      <c r="AK16" s="13">
        <v>29.75</v>
      </c>
      <c r="AL16" s="14">
        <v>7</v>
      </c>
    </row>
    <row r="17" spans="1:41" x14ac:dyDescent="0.25">
      <c r="A17" t="s">
        <v>35</v>
      </c>
      <c r="C17" s="1">
        <v>59.5</v>
      </c>
      <c r="D17" s="1">
        <v>79.5</v>
      </c>
      <c r="E17">
        <f t="shared" si="1"/>
        <v>29.75</v>
      </c>
      <c r="I17" t="s">
        <v>30</v>
      </c>
      <c r="K17" s="1">
        <v>71.5</v>
      </c>
      <c r="L17" s="1">
        <v>79.5</v>
      </c>
      <c r="M17">
        <f>K17/2</f>
        <v>35.75</v>
      </c>
      <c r="Q17" s="17" t="s">
        <v>35</v>
      </c>
      <c r="R17" s="13" t="s">
        <v>25</v>
      </c>
      <c r="S17" s="13"/>
      <c r="T17" s="13"/>
      <c r="U17" s="13">
        <v>29.75</v>
      </c>
      <c r="V17" s="14">
        <v>7</v>
      </c>
      <c r="AB17" t="s">
        <v>49</v>
      </c>
      <c r="AC17">
        <v>19.25</v>
      </c>
    </row>
    <row r="18" spans="1:41" x14ac:dyDescent="0.25">
      <c r="H18" s="6"/>
      <c r="I18" t="s">
        <v>30</v>
      </c>
      <c r="J18" t="s">
        <v>25</v>
      </c>
      <c r="M18">
        <v>35.75</v>
      </c>
      <c r="N18">
        <v>2</v>
      </c>
    </row>
    <row r="19" spans="1:41" x14ac:dyDescent="0.25">
      <c r="H19" s="6"/>
      <c r="I19" t="s">
        <v>30</v>
      </c>
      <c r="J19" t="s">
        <v>26</v>
      </c>
      <c r="M19">
        <v>79.5</v>
      </c>
      <c r="N19">
        <v>2</v>
      </c>
      <c r="Q19" s="7" t="s">
        <v>10</v>
      </c>
      <c r="R19" s="8" t="s">
        <v>18</v>
      </c>
      <c r="S19" s="8" t="s">
        <v>19</v>
      </c>
      <c r="T19" s="8" t="s">
        <v>21</v>
      </c>
      <c r="U19" s="8" t="s">
        <v>23</v>
      </c>
      <c r="V19" s="9"/>
      <c r="Y19" t="s">
        <v>45</v>
      </c>
      <c r="Z19" t="s">
        <v>50</v>
      </c>
      <c r="AC19">
        <v>192</v>
      </c>
    </row>
    <row r="20" spans="1:41" x14ac:dyDescent="0.25">
      <c r="H20" s="6"/>
      <c r="I20" t="s">
        <v>30</v>
      </c>
      <c r="J20" t="s">
        <v>27</v>
      </c>
      <c r="M20">
        <v>35.75</v>
      </c>
      <c r="N20">
        <v>2</v>
      </c>
      <c r="Q20" s="17" t="s">
        <v>33</v>
      </c>
      <c r="R20" s="13" t="s">
        <v>25</v>
      </c>
      <c r="S20" s="13"/>
      <c r="T20" s="13"/>
      <c r="U20" s="13">
        <v>35.75</v>
      </c>
      <c r="V20" s="14">
        <v>5</v>
      </c>
      <c r="Y20" t="s">
        <v>39</v>
      </c>
      <c r="Z20" s="7" t="s">
        <v>29</v>
      </c>
      <c r="AA20" s="8" t="s">
        <v>26</v>
      </c>
      <c r="AB20" s="8"/>
      <c r="AC20" s="8">
        <f>AC19-AD20</f>
        <v>112.5</v>
      </c>
      <c r="AD20" s="8">
        <v>79.5</v>
      </c>
      <c r="AE20" s="9">
        <v>1</v>
      </c>
      <c r="AG20" s="12" t="s">
        <v>30</v>
      </c>
      <c r="AH20" s="13" t="s">
        <v>26</v>
      </c>
      <c r="AI20" s="13"/>
      <c r="AJ20" s="13"/>
      <c r="AK20" s="13">
        <v>79.5</v>
      </c>
      <c r="AL20" s="14">
        <v>2</v>
      </c>
    </row>
    <row r="21" spans="1:41" x14ac:dyDescent="0.25">
      <c r="H21" s="6"/>
      <c r="I21" t="s">
        <v>30</v>
      </c>
      <c r="J21" t="s">
        <v>28</v>
      </c>
      <c r="M21">
        <v>79.5</v>
      </c>
      <c r="N21">
        <v>2</v>
      </c>
      <c r="Z21" s="7" t="s">
        <v>31</v>
      </c>
      <c r="AA21" s="8" t="s">
        <v>26</v>
      </c>
      <c r="AB21" s="8"/>
      <c r="AC21" s="8">
        <f>AC20-AD21</f>
        <v>33</v>
      </c>
      <c r="AD21" s="8">
        <v>79.5</v>
      </c>
      <c r="AE21" s="9">
        <v>3</v>
      </c>
      <c r="AG21" s="12" t="s">
        <v>32</v>
      </c>
      <c r="AH21" s="13" t="s">
        <v>26</v>
      </c>
      <c r="AI21" s="13"/>
      <c r="AJ21" s="13"/>
      <c r="AK21" s="13">
        <v>79.5</v>
      </c>
      <c r="AL21" s="14">
        <v>4</v>
      </c>
    </row>
    <row r="22" spans="1:41" x14ac:dyDescent="0.25">
      <c r="Q22" s="7" t="s">
        <v>15</v>
      </c>
      <c r="R22" s="8" t="s">
        <v>18</v>
      </c>
      <c r="S22" s="8" t="s">
        <v>20</v>
      </c>
      <c r="T22" s="8" t="s">
        <v>21</v>
      </c>
      <c r="U22" s="8" t="s">
        <v>24</v>
      </c>
      <c r="V22" s="9"/>
      <c r="AB22" t="s">
        <v>49</v>
      </c>
      <c r="AC22">
        <v>33</v>
      </c>
    </row>
    <row r="23" spans="1:41" x14ac:dyDescent="0.25">
      <c r="I23" t="s">
        <v>31</v>
      </c>
      <c r="K23" s="1">
        <v>71.5</v>
      </c>
      <c r="L23" s="1">
        <v>79.5</v>
      </c>
      <c r="M23">
        <f>K23/2</f>
        <v>35.75</v>
      </c>
      <c r="Q23" s="16" t="s">
        <v>29</v>
      </c>
      <c r="R23" s="8" t="s">
        <v>27</v>
      </c>
      <c r="S23" s="8"/>
      <c r="T23" s="8"/>
      <c r="U23" s="8">
        <v>35.75</v>
      </c>
      <c r="V23" s="9">
        <v>1</v>
      </c>
    </row>
    <row r="24" spans="1:41" x14ac:dyDescent="0.25">
      <c r="H24" s="6"/>
      <c r="I24" t="s">
        <v>31</v>
      </c>
      <c r="J24" t="s">
        <v>25</v>
      </c>
      <c r="M24">
        <v>35.75</v>
      </c>
      <c r="N24">
        <v>3</v>
      </c>
      <c r="Q24" s="17" t="s">
        <v>30</v>
      </c>
      <c r="R24" s="13" t="s">
        <v>27</v>
      </c>
      <c r="S24" s="13"/>
      <c r="T24" s="13"/>
      <c r="U24" s="13">
        <v>35.75</v>
      </c>
      <c r="V24" s="14">
        <v>2</v>
      </c>
      <c r="Y24" t="s">
        <v>45</v>
      </c>
      <c r="Z24" t="s">
        <v>51</v>
      </c>
      <c r="AC24">
        <v>192</v>
      </c>
    </row>
    <row r="25" spans="1:41" x14ac:dyDescent="0.25">
      <c r="H25" s="6"/>
      <c r="I25" t="s">
        <v>31</v>
      </c>
      <c r="J25" t="s">
        <v>26</v>
      </c>
      <c r="M25">
        <v>79.5</v>
      </c>
      <c r="N25">
        <v>3</v>
      </c>
      <c r="Q25" s="16" t="s">
        <v>31</v>
      </c>
      <c r="R25" s="8" t="s">
        <v>27</v>
      </c>
      <c r="S25" s="8"/>
      <c r="T25" s="8"/>
      <c r="U25" s="8">
        <v>35.75</v>
      </c>
      <c r="V25" s="9">
        <v>3</v>
      </c>
      <c r="Y25" t="s">
        <v>39</v>
      </c>
      <c r="Z25" s="7" t="s">
        <v>29</v>
      </c>
      <c r="AA25" s="8" t="s">
        <v>28</v>
      </c>
      <c r="AB25" s="8"/>
      <c r="AC25" s="8">
        <f>AC24-AD25</f>
        <v>112.5</v>
      </c>
      <c r="AD25" s="8">
        <v>79.5</v>
      </c>
      <c r="AE25" s="9">
        <v>1</v>
      </c>
      <c r="AG25" s="12" t="s">
        <v>30</v>
      </c>
      <c r="AH25" s="13" t="s">
        <v>28</v>
      </c>
      <c r="AI25" s="13"/>
      <c r="AJ25" s="13"/>
      <c r="AK25" s="13">
        <v>79.5</v>
      </c>
      <c r="AL25" s="14">
        <v>2</v>
      </c>
      <c r="AN25">
        <v>1</v>
      </c>
      <c r="AO25">
        <v>2</v>
      </c>
    </row>
    <row r="26" spans="1:41" x14ac:dyDescent="0.25">
      <c r="H26" s="6"/>
      <c r="I26" t="s">
        <v>31</v>
      </c>
      <c r="J26" t="s">
        <v>27</v>
      </c>
      <c r="M26">
        <v>35.75</v>
      </c>
      <c r="N26">
        <v>3</v>
      </c>
      <c r="Q26" s="17" t="s">
        <v>32</v>
      </c>
      <c r="R26" s="13" t="s">
        <v>27</v>
      </c>
      <c r="S26" s="13"/>
      <c r="T26" s="13"/>
      <c r="U26" s="13">
        <v>35.75</v>
      </c>
      <c r="V26" s="14">
        <v>4</v>
      </c>
      <c r="Z26" s="7" t="s">
        <v>31</v>
      </c>
      <c r="AA26" s="8" t="s">
        <v>28</v>
      </c>
      <c r="AB26" s="8"/>
      <c r="AC26" s="8">
        <f>AC25-AD26</f>
        <v>33</v>
      </c>
      <c r="AD26" s="8">
        <v>79.5</v>
      </c>
      <c r="AE26" s="9">
        <v>3</v>
      </c>
      <c r="AG26" s="12" t="s">
        <v>32</v>
      </c>
      <c r="AH26" s="13" t="s">
        <v>28</v>
      </c>
      <c r="AI26" s="13"/>
      <c r="AJ26" s="13"/>
      <c r="AK26" s="13">
        <v>79.5</v>
      </c>
      <c r="AL26" s="14">
        <v>4</v>
      </c>
      <c r="AN26">
        <v>3</v>
      </c>
      <c r="AO26">
        <v>4</v>
      </c>
    </row>
    <row r="27" spans="1:41" x14ac:dyDescent="0.25">
      <c r="H27" s="6"/>
      <c r="I27" t="s">
        <v>31</v>
      </c>
      <c r="J27" t="s">
        <v>28</v>
      </c>
      <c r="M27">
        <v>79.5</v>
      </c>
      <c r="N27">
        <v>3</v>
      </c>
      <c r="Q27" s="7" t="s">
        <v>34</v>
      </c>
      <c r="R27" s="8" t="s">
        <v>27</v>
      </c>
      <c r="S27" s="8"/>
      <c r="T27" s="8"/>
      <c r="U27" s="8">
        <v>29.75</v>
      </c>
      <c r="V27" s="9">
        <v>6</v>
      </c>
      <c r="AB27" t="s">
        <v>49</v>
      </c>
      <c r="AC27">
        <v>33</v>
      </c>
    </row>
    <row r="28" spans="1:41" x14ac:dyDescent="0.25">
      <c r="Q28" s="12" t="s">
        <v>35</v>
      </c>
      <c r="R28" s="13" t="s">
        <v>27</v>
      </c>
      <c r="S28" s="13"/>
      <c r="T28" s="13"/>
      <c r="U28" s="13">
        <v>29.75</v>
      </c>
      <c r="V28" s="14">
        <v>7</v>
      </c>
    </row>
    <row r="29" spans="1:41" x14ac:dyDescent="0.25">
      <c r="I29" t="s">
        <v>32</v>
      </c>
      <c r="K29" s="1">
        <v>71.5</v>
      </c>
      <c r="L29" s="1">
        <v>79.5</v>
      </c>
      <c r="M29">
        <f>K29/2</f>
        <v>35.75</v>
      </c>
      <c r="Y29" t="s">
        <v>45</v>
      </c>
      <c r="Z29" t="s">
        <v>54</v>
      </c>
      <c r="AC29">
        <v>192</v>
      </c>
    </row>
    <row r="30" spans="1:41" x14ac:dyDescent="0.25">
      <c r="H30" s="6"/>
      <c r="I30" t="s">
        <v>32</v>
      </c>
      <c r="J30" t="s">
        <v>25</v>
      </c>
      <c r="M30">
        <v>35.75</v>
      </c>
      <c r="N30">
        <v>4</v>
      </c>
      <c r="Q30" s="7" t="s">
        <v>14</v>
      </c>
      <c r="R30" s="8" t="s">
        <v>18</v>
      </c>
      <c r="S30" s="8" t="s">
        <v>20</v>
      </c>
      <c r="T30" s="8" t="s">
        <v>21</v>
      </c>
      <c r="U30" s="8" t="s">
        <v>23</v>
      </c>
      <c r="V30" s="9"/>
      <c r="Y30" t="s">
        <v>39</v>
      </c>
      <c r="Z30" s="12" t="s">
        <v>33</v>
      </c>
      <c r="AA30" s="13" t="s">
        <v>25</v>
      </c>
      <c r="AB30" s="13"/>
      <c r="AC30" s="13">
        <f>AC29-AD30</f>
        <v>156.25</v>
      </c>
      <c r="AD30" s="13">
        <v>35.75</v>
      </c>
      <c r="AE30" s="14">
        <v>5</v>
      </c>
    </row>
    <row r="31" spans="1:41" x14ac:dyDescent="0.25">
      <c r="H31" s="6"/>
      <c r="I31" t="s">
        <v>32</v>
      </c>
      <c r="J31" t="s">
        <v>26</v>
      </c>
      <c r="M31">
        <v>79.5</v>
      </c>
      <c r="N31">
        <v>4</v>
      </c>
      <c r="Q31" s="17" t="s">
        <v>33</v>
      </c>
      <c r="R31" s="13" t="s">
        <v>27</v>
      </c>
      <c r="S31" s="13"/>
      <c r="T31" s="13"/>
      <c r="U31" s="13">
        <v>35.75</v>
      </c>
      <c r="V31" s="14">
        <v>5</v>
      </c>
      <c r="Z31" s="12" t="s">
        <v>33</v>
      </c>
      <c r="AA31" s="13" t="s">
        <v>27</v>
      </c>
      <c r="AB31" s="13"/>
      <c r="AC31" s="13">
        <f>AC30-AD31</f>
        <v>120.5</v>
      </c>
      <c r="AD31" s="13">
        <v>35.75</v>
      </c>
      <c r="AE31" s="14">
        <v>5</v>
      </c>
    </row>
    <row r="32" spans="1:41" x14ac:dyDescent="0.25">
      <c r="H32" s="6"/>
      <c r="I32" t="s">
        <v>32</v>
      </c>
      <c r="J32" t="s">
        <v>27</v>
      </c>
      <c r="M32">
        <v>35.75</v>
      </c>
      <c r="N32">
        <v>4</v>
      </c>
      <c r="AB32" t="s">
        <v>49</v>
      </c>
      <c r="AC32">
        <v>120.5</v>
      </c>
    </row>
    <row r="33" spans="8:31" x14ac:dyDescent="0.25">
      <c r="H33" s="6"/>
      <c r="I33" t="s">
        <v>32</v>
      </c>
      <c r="J33" t="s">
        <v>28</v>
      </c>
      <c r="M33">
        <v>79.5</v>
      </c>
      <c r="N33">
        <v>4</v>
      </c>
      <c r="Q33" s="7" t="s">
        <v>13</v>
      </c>
      <c r="R33" s="8" t="s">
        <v>18</v>
      </c>
      <c r="S33" s="8" t="s">
        <v>19</v>
      </c>
      <c r="T33" s="8" t="s">
        <v>22</v>
      </c>
      <c r="U33" s="8" t="s">
        <v>24</v>
      </c>
      <c r="V33" s="9"/>
    </row>
    <row r="34" spans="8:31" x14ac:dyDescent="0.25">
      <c r="Q34" s="16" t="s">
        <v>29</v>
      </c>
      <c r="R34" s="8" t="s">
        <v>26</v>
      </c>
      <c r="S34" s="8"/>
      <c r="T34" s="8"/>
      <c r="U34" s="8">
        <v>79.5</v>
      </c>
      <c r="V34" s="9">
        <v>1</v>
      </c>
      <c r="Y34" t="s">
        <v>45</v>
      </c>
      <c r="Z34" t="s">
        <v>55</v>
      </c>
      <c r="AC34">
        <v>192</v>
      </c>
    </row>
    <row r="35" spans="8:31" x14ac:dyDescent="0.25">
      <c r="I35" t="s">
        <v>33</v>
      </c>
      <c r="K35" s="1">
        <v>71.5</v>
      </c>
      <c r="L35" s="1">
        <v>79.5</v>
      </c>
      <c r="M35">
        <f>K35/2</f>
        <v>35.75</v>
      </c>
      <c r="Q35" s="17" t="s">
        <v>30</v>
      </c>
      <c r="R35" s="13" t="s">
        <v>26</v>
      </c>
      <c r="S35" s="13"/>
      <c r="T35" s="13"/>
      <c r="U35" s="13">
        <v>79.5</v>
      </c>
      <c r="V35" s="14">
        <v>2</v>
      </c>
      <c r="Y35" t="s">
        <v>39</v>
      </c>
      <c r="Z35" s="12" t="s">
        <v>35</v>
      </c>
      <c r="AA35" s="13" t="s">
        <v>26</v>
      </c>
      <c r="AB35" s="13"/>
      <c r="AC35" s="13">
        <f>AC34-AD35</f>
        <v>112.5</v>
      </c>
      <c r="AD35" s="13">
        <v>79.5</v>
      </c>
      <c r="AE35" s="14">
        <v>7</v>
      </c>
    </row>
    <row r="36" spans="8:31" x14ac:dyDescent="0.25">
      <c r="H36" s="6"/>
      <c r="I36" t="s">
        <v>33</v>
      </c>
      <c r="J36" t="s">
        <v>25</v>
      </c>
      <c r="M36">
        <v>35.75</v>
      </c>
      <c r="N36">
        <v>5</v>
      </c>
      <c r="Q36" s="16" t="s">
        <v>31</v>
      </c>
      <c r="R36" s="8" t="s">
        <v>26</v>
      </c>
      <c r="S36" s="8"/>
      <c r="T36" s="8"/>
      <c r="U36" s="8">
        <v>79.5</v>
      </c>
      <c r="V36" s="9">
        <v>3</v>
      </c>
      <c r="AB36" t="s">
        <v>49</v>
      </c>
      <c r="AC36">
        <v>112.5</v>
      </c>
    </row>
    <row r="37" spans="8:31" x14ac:dyDescent="0.25">
      <c r="H37" s="6"/>
      <c r="I37" t="s">
        <v>33</v>
      </c>
      <c r="J37" t="s">
        <v>26</v>
      </c>
      <c r="M37">
        <v>79.5</v>
      </c>
      <c r="N37">
        <v>5</v>
      </c>
      <c r="Q37" s="17" t="s">
        <v>32</v>
      </c>
      <c r="R37" s="13" t="s">
        <v>26</v>
      </c>
      <c r="S37" s="13"/>
      <c r="T37" s="13"/>
      <c r="U37" s="13">
        <v>79.5</v>
      </c>
      <c r="V37" s="14">
        <v>4</v>
      </c>
    </row>
    <row r="38" spans="8:31" x14ac:dyDescent="0.25">
      <c r="H38" s="6"/>
      <c r="I38" t="s">
        <v>33</v>
      </c>
      <c r="J38" t="s">
        <v>27</v>
      </c>
      <c r="M38">
        <v>35.75</v>
      </c>
      <c r="N38">
        <v>5</v>
      </c>
      <c r="Q38" s="7" t="s">
        <v>33</v>
      </c>
      <c r="R38" s="8" t="s">
        <v>26</v>
      </c>
      <c r="S38" s="8"/>
      <c r="T38" s="8"/>
      <c r="U38" s="8">
        <v>79.5</v>
      </c>
      <c r="V38" s="9">
        <v>5</v>
      </c>
      <c r="Y38" t="s">
        <v>45</v>
      </c>
      <c r="Z38" t="s">
        <v>56</v>
      </c>
      <c r="AC38">
        <v>192</v>
      </c>
    </row>
    <row r="39" spans="8:31" x14ac:dyDescent="0.25">
      <c r="H39" s="6"/>
      <c r="I39" t="s">
        <v>33</v>
      </c>
      <c r="J39" t="s">
        <v>28</v>
      </c>
      <c r="M39">
        <v>79.5</v>
      </c>
      <c r="N39">
        <v>5</v>
      </c>
      <c r="Q39" s="12" t="s">
        <v>34</v>
      </c>
      <c r="R39" s="13" t="s">
        <v>26</v>
      </c>
      <c r="S39" s="13"/>
      <c r="T39" s="13"/>
      <c r="U39" s="13">
        <v>79.5</v>
      </c>
      <c r="V39" s="14">
        <v>6</v>
      </c>
      <c r="Y39" t="s">
        <v>39</v>
      </c>
      <c r="Z39" s="12" t="s">
        <v>35</v>
      </c>
      <c r="AA39" s="13" t="s">
        <v>28</v>
      </c>
      <c r="AB39" s="13"/>
      <c r="AC39" s="13">
        <f>AC38-AD39</f>
        <v>112.5</v>
      </c>
      <c r="AD39" s="13">
        <v>79.5</v>
      </c>
      <c r="AE39" s="14">
        <v>7</v>
      </c>
    </row>
    <row r="40" spans="8:31" x14ac:dyDescent="0.25">
      <c r="AB40" t="s">
        <v>49</v>
      </c>
      <c r="AC40">
        <v>112.5</v>
      </c>
    </row>
    <row r="41" spans="8:31" x14ac:dyDescent="0.25">
      <c r="I41" t="s">
        <v>34</v>
      </c>
      <c r="K41" s="1">
        <v>59.5</v>
      </c>
      <c r="L41" s="1">
        <v>79.5</v>
      </c>
      <c r="M41">
        <f>K41/2</f>
        <v>29.75</v>
      </c>
      <c r="Q41" s="7" t="s">
        <v>12</v>
      </c>
      <c r="R41" s="8" t="s">
        <v>18</v>
      </c>
      <c r="S41" s="8" t="s">
        <v>19</v>
      </c>
      <c r="T41" s="8" t="s">
        <v>22</v>
      </c>
      <c r="U41" s="8" t="s">
        <v>23</v>
      </c>
      <c r="V41" s="9"/>
    </row>
    <row r="42" spans="8:31" x14ac:dyDescent="0.25">
      <c r="H42" s="6"/>
      <c r="I42" t="s">
        <v>34</v>
      </c>
      <c r="J42" t="s">
        <v>25</v>
      </c>
      <c r="M42">
        <v>29.75</v>
      </c>
      <c r="N42">
        <v>6</v>
      </c>
      <c r="Q42" s="17" t="s">
        <v>35</v>
      </c>
      <c r="R42" s="13" t="s">
        <v>26</v>
      </c>
      <c r="S42" s="13"/>
      <c r="T42" s="13"/>
      <c r="U42" s="13">
        <v>79.5</v>
      </c>
      <c r="V42" s="14">
        <v>7</v>
      </c>
    </row>
    <row r="43" spans="8:31" x14ac:dyDescent="0.25">
      <c r="H43" s="6"/>
      <c r="I43" t="s">
        <v>34</v>
      </c>
      <c r="J43" t="s">
        <v>26</v>
      </c>
      <c r="M43">
        <v>79.5</v>
      </c>
      <c r="N43">
        <v>6</v>
      </c>
    </row>
    <row r="44" spans="8:31" x14ac:dyDescent="0.25">
      <c r="H44" s="6"/>
      <c r="I44" t="s">
        <v>34</v>
      </c>
      <c r="J44" t="s">
        <v>27</v>
      </c>
      <c r="M44">
        <v>29.75</v>
      </c>
      <c r="N44">
        <v>6</v>
      </c>
      <c r="Q44" s="7" t="s">
        <v>17</v>
      </c>
      <c r="R44" s="8" t="s">
        <v>18</v>
      </c>
      <c r="S44" s="8" t="s">
        <v>20</v>
      </c>
      <c r="T44" s="8" t="s">
        <v>22</v>
      </c>
      <c r="U44" s="8" t="s">
        <v>24</v>
      </c>
      <c r="V44" s="9"/>
    </row>
    <row r="45" spans="8:31" x14ac:dyDescent="0.25">
      <c r="H45" s="6"/>
      <c r="I45" t="s">
        <v>34</v>
      </c>
      <c r="J45" t="s">
        <v>28</v>
      </c>
      <c r="M45">
        <v>79.5</v>
      </c>
      <c r="N45">
        <v>6</v>
      </c>
      <c r="Q45" s="16" t="s">
        <v>29</v>
      </c>
      <c r="R45" s="8" t="s">
        <v>28</v>
      </c>
      <c r="S45" s="8"/>
      <c r="T45" s="8"/>
      <c r="U45" s="8">
        <v>79.5</v>
      </c>
      <c r="V45" s="9">
        <v>1</v>
      </c>
    </row>
    <row r="46" spans="8:31" x14ac:dyDescent="0.25">
      <c r="Q46" s="17" t="s">
        <v>30</v>
      </c>
      <c r="R46" s="13" t="s">
        <v>28</v>
      </c>
      <c r="S46" s="13"/>
      <c r="T46" s="13"/>
      <c r="U46" s="13">
        <v>79.5</v>
      </c>
      <c r="V46" s="14">
        <v>2</v>
      </c>
    </row>
    <row r="47" spans="8:31" x14ac:dyDescent="0.25">
      <c r="I47" t="s">
        <v>35</v>
      </c>
      <c r="K47" s="1">
        <v>59.5</v>
      </c>
      <c r="L47" s="1">
        <v>79.5</v>
      </c>
      <c r="M47">
        <f>K47/2</f>
        <v>29.75</v>
      </c>
      <c r="Q47" s="16" t="s">
        <v>31</v>
      </c>
      <c r="R47" s="8" t="s">
        <v>28</v>
      </c>
      <c r="S47" s="8"/>
      <c r="T47" s="8"/>
      <c r="U47" s="8">
        <v>79.5</v>
      </c>
      <c r="V47" s="9">
        <v>3</v>
      </c>
    </row>
    <row r="48" spans="8:31" x14ac:dyDescent="0.25">
      <c r="H48" s="6"/>
      <c r="I48" t="s">
        <v>35</v>
      </c>
      <c r="J48" t="s">
        <v>25</v>
      </c>
      <c r="M48">
        <v>29.75</v>
      </c>
      <c r="N48">
        <v>7</v>
      </c>
      <c r="Q48" s="17" t="s">
        <v>32</v>
      </c>
      <c r="R48" s="13" t="s">
        <v>28</v>
      </c>
      <c r="S48" s="13"/>
      <c r="T48" s="13"/>
      <c r="U48" s="13">
        <v>79.5</v>
      </c>
      <c r="V48" s="14">
        <v>4</v>
      </c>
    </row>
    <row r="49" spans="8:22" x14ac:dyDescent="0.25">
      <c r="H49" s="6"/>
      <c r="I49" t="s">
        <v>35</v>
      </c>
      <c r="J49" t="s">
        <v>26</v>
      </c>
      <c r="M49">
        <v>79.5</v>
      </c>
      <c r="N49">
        <v>7</v>
      </c>
      <c r="Q49" s="7" t="s">
        <v>33</v>
      </c>
      <c r="R49" s="8" t="s">
        <v>28</v>
      </c>
      <c r="S49" s="8"/>
      <c r="T49" s="8"/>
      <c r="U49" s="8">
        <v>79.5</v>
      </c>
      <c r="V49" s="9">
        <v>5</v>
      </c>
    </row>
    <row r="50" spans="8:22" x14ac:dyDescent="0.25">
      <c r="H50" s="6"/>
      <c r="I50" t="s">
        <v>35</v>
      </c>
      <c r="J50" t="s">
        <v>27</v>
      </c>
      <c r="M50">
        <v>29.75</v>
      </c>
      <c r="N50">
        <v>7</v>
      </c>
      <c r="Q50" s="12" t="s">
        <v>34</v>
      </c>
      <c r="R50" s="13" t="s">
        <v>28</v>
      </c>
      <c r="S50" s="13"/>
      <c r="T50" s="13"/>
      <c r="U50" s="13">
        <v>79.5</v>
      </c>
      <c r="V50" s="14">
        <v>6</v>
      </c>
    </row>
    <row r="51" spans="8:22" x14ac:dyDescent="0.25">
      <c r="H51" s="6"/>
      <c r="I51" t="s">
        <v>35</v>
      </c>
      <c r="J51" t="s">
        <v>28</v>
      </c>
      <c r="M51">
        <v>79.5</v>
      </c>
      <c r="N51">
        <v>7</v>
      </c>
    </row>
    <row r="52" spans="8:22" x14ac:dyDescent="0.25">
      <c r="Q52" s="7" t="s">
        <v>16</v>
      </c>
      <c r="R52" s="8" t="s">
        <v>18</v>
      </c>
      <c r="S52" s="8" t="s">
        <v>20</v>
      </c>
      <c r="T52" s="8" t="s">
        <v>22</v>
      </c>
      <c r="U52" s="8" t="s">
        <v>23</v>
      </c>
      <c r="V52" s="9"/>
    </row>
    <row r="53" spans="8:22" x14ac:dyDescent="0.25">
      <c r="Q53" s="17" t="s">
        <v>35</v>
      </c>
      <c r="R53" s="13" t="s">
        <v>28</v>
      </c>
      <c r="S53" s="13"/>
      <c r="T53" s="13"/>
      <c r="U53" s="13">
        <v>79.5</v>
      </c>
      <c r="V53" s="1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5AB1-13F9-474E-B69C-99D83DEF5619}">
  <dimension ref="A1:AO53"/>
  <sheetViews>
    <sheetView topLeftCell="R1" zoomScale="90" zoomScaleNormal="90" workbookViewId="0">
      <selection activeCell="Z29" sqref="Z29"/>
    </sheetView>
  </sheetViews>
  <sheetFormatPr defaultRowHeight="15" x14ac:dyDescent="0.25"/>
  <cols>
    <col min="1" max="1" width="15.85546875" customWidth="1"/>
    <col min="9" max="9" width="12.42578125" bestFit="1" customWidth="1"/>
    <col min="10" max="10" width="17.7109375" bestFit="1" customWidth="1"/>
    <col min="11" max="11" width="4.42578125" bestFit="1" customWidth="1"/>
    <col min="17" max="17" width="13.42578125" customWidth="1"/>
    <col min="18" max="18" width="11.42578125" bestFit="1" customWidth="1"/>
    <col min="20" max="20" width="11.140625" bestFit="1" customWidth="1"/>
    <col min="21" max="21" width="11.7109375" bestFit="1" customWidth="1"/>
    <col min="22" max="22" width="11.42578125" bestFit="1" customWidth="1"/>
    <col min="23" max="23" width="17.7109375" bestFit="1" customWidth="1"/>
    <col min="26" max="26" width="31.42578125" customWidth="1"/>
    <col min="27" max="27" width="42.140625" customWidth="1"/>
    <col min="32" max="32" width="9.140625" style="15"/>
    <col min="33" max="33" width="11.42578125" bestFit="1" customWidth="1"/>
  </cols>
  <sheetData>
    <row r="1" spans="1:40" x14ac:dyDescent="0.25">
      <c r="A1" t="s">
        <v>1</v>
      </c>
    </row>
    <row r="2" spans="1:40" x14ac:dyDescent="0.25">
      <c r="B2" t="s">
        <v>3</v>
      </c>
      <c r="C2" t="s">
        <v>9</v>
      </c>
      <c r="D2" t="s">
        <v>8</v>
      </c>
      <c r="E2" t="s">
        <v>6</v>
      </c>
      <c r="J2" t="s">
        <v>37</v>
      </c>
    </row>
    <row r="3" spans="1:40" x14ac:dyDescent="0.25">
      <c r="A3" t="s">
        <v>0</v>
      </c>
      <c r="B3">
        <v>2</v>
      </c>
      <c r="C3" s="1">
        <v>71.5</v>
      </c>
      <c r="D3" s="1">
        <v>79.5</v>
      </c>
      <c r="E3">
        <f>C3/2</f>
        <v>35.75</v>
      </c>
    </row>
    <row r="4" spans="1:40" x14ac:dyDescent="0.25">
      <c r="A4" t="s">
        <v>2</v>
      </c>
      <c r="B4">
        <v>2</v>
      </c>
      <c r="C4" s="1">
        <v>71.5</v>
      </c>
      <c r="D4" s="1">
        <v>79.5</v>
      </c>
      <c r="E4">
        <f t="shared" ref="E4:E6" si="0">C4/2</f>
        <v>35.75</v>
      </c>
      <c r="W4" t="s">
        <v>44</v>
      </c>
    </row>
    <row r="5" spans="1:40" x14ac:dyDescent="0.25">
      <c r="A5" t="s">
        <v>4</v>
      </c>
      <c r="B5">
        <v>1</v>
      </c>
      <c r="C5" s="1">
        <v>71.5</v>
      </c>
      <c r="D5" s="1">
        <v>79.5</v>
      </c>
      <c r="E5">
        <f t="shared" si="0"/>
        <v>35.75</v>
      </c>
    </row>
    <row r="6" spans="1:40" x14ac:dyDescent="0.25">
      <c r="A6" t="s">
        <v>5</v>
      </c>
      <c r="B6">
        <v>2</v>
      </c>
      <c r="C6" s="1">
        <v>59.5</v>
      </c>
      <c r="D6" s="1">
        <v>79.5</v>
      </c>
      <c r="E6">
        <f t="shared" si="0"/>
        <v>29.75</v>
      </c>
    </row>
    <row r="7" spans="1:40" x14ac:dyDescent="0.25">
      <c r="N7" t="s">
        <v>36</v>
      </c>
    </row>
    <row r="9" spans="1:40" x14ac:dyDescent="0.25">
      <c r="K9" t="s">
        <v>9</v>
      </c>
      <c r="L9" t="s">
        <v>8</v>
      </c>
      <c r="M9" t="s">
        <v>6</v>
      </c>
      <c r="AA9" t="s">
        <v>47</v>
      </c>
      <c r="AN9" t="s">
        <v>52</v>
      </c>
    </row>
    <row r="10" spans="1:40" x14ac:dyDescent="0.25">
      <c r="AC10" t="s">
        <v>48</v>
      </c>
      <c r="AN10" t="s">
        <v>53</v>
      </c>
    </row>
    <row r="11" spans="1:40" x14ac:dyDescent="0.25">
      <c r="A11" t="s">
        <v>29</v>
      </c>
      <c r="C11" s="1">
        <v>71.5</v>
      </c>
      <c r="D11" s="1">
        <v>79.5</v>
      </c>
      <c r="E11">
        <f>C11/2</f>
        <v>35.75</v>
      </c>
      <c r="I11" t="s">
        <v>29</v>
      </c>
      <c r="K11" s="1">
        <v>71.5</v>
      </c>
      <c r="L11" s="1">
        <v>79.5</v>
      </c>
      <c r="M11">
        <f>K11/2</f>
        <v>35.75</v>
      </c>
      <c r="Q11" s="7" t="s">
        <v>11</v>
      </c>
      <c r="R11" s="8" t="s">
        <v>18</v>
      </c>
      <c r="S11" s="8" t="s">
        <v>19</v>
      </c>
      <c r="T11" s="8" t="s">
        <v>21</v>
      </c>
      <c r="U11" s="8" t="s">
        <v>24</v>
      </c>
      <c r="V11" s="9"/>
      <c r="Y11" t="s">
        <v>45</v>
      </c>
      <c r="Z11" t="s">
        <v>46</v>
      </c>
      <c r="AC11">
        <v>192</v>
      </c>
    </row>
    <row r="12" spans="1:40" x14ac:dyDescent="0.25">
      <c r="A12" t="s">
        <v>30</v>
      </c>
      <c r="C12" s="1">
        <v>71.5</v>
      </c>
      <c r="D12" s="1">
        <v>79.5</v>
      </c>
      <c r="E12">
        <f>C12/2</f>
        <v>35.75</v>
      </c>
      <c r="H12" s="5"/>
      <c r="I12" t="s">
        <v>29</v>
      </c>
      <c r="J12" t="s">
        <v>25</v>
      </c>
      <c r="M12">
        <v>35.75</v>
      </c>
      <c r="N12">
        <v>1</v>
      </c>
      <c r="Q12" s="16" t="s">
        <v>29</v>
      </c>
      <c r="R12" s="8" t="s">
        <v>25</v>
      </c>
      <c r="S12" s="8"/>
      <c r="T12" s="8"/>
      <c r="U12" s="8">
        <v>35.75</v>
      </c>
      <c r="V12" s="9">
        <v>1</v>
      </c>
      <c r="Y12" t="s">
        <v>39</v>
      </c>
      <c r="Z12" s="18" t="s">
        <v>29</v>
      </c>
      <c r="AA12" s="19" t="s">
        <v>25</v>
      </c>
      <c r="AB12" s="19"/>
      <c r="AC12" s="19">
        <f>AC11-AD12</f>
        <v>156.25</v>
      </c>
      <c r="AD12" s="19">
        <v>35.75</v>
      </c>
      <c r="AE12" s="20">
        <v>1</v>
      </c>
      <c r="AF12" s="2"/>
      <c r="AG12" s="21" t="s">
        <v>30</v>
      </c>
      <c r="AH12" s="22" t="s">
        <v>25</v>
      </c>
      <c r="AI12" s="22"/>
      <c r="AJ12" s="22"/>
      <c r="AK12" s="22">
        <v>35.75</v>
      </c>
      <c r="AL12" s="23">
        <v>2</v>
      </c>
    </row>
    <row r="13" spans="1:40" x14ac:dyDescent="0.25">
      <c r="A13" t="s">
        <v>31</v>
      </c>
      <c r="C13" s="1">
        <v>71.5</v>
      </c>
      <c r="D13" s="1">
        <v>79.5</v>
      </c>
      <c r="E13">
        <f t="shared" ref="E13:E17" si="1">C13/2</f>
        <v>35.75</v>
      </c>
      <c r="H13" s="6"/>
      <c r="I13" t="s">
        <v>29</v>
      </c>
      <c r="J13" t="s">
        <v>26</v>
      </c>
      <c r="M13">
        <v>79.5</v>
      </c>
      <c r="N13">
        <v>1</v>
      </c>
      <c r="Q13" s="17" t="s">
        <v>30</v>
      </c>
      <c r="R13" s="13" t="s">
        <v>25</v>
      </c>
      <c r="S13" s="13"/>
      <c r="T13" s="13"/>
      <c r="U13" s="13">
        <v>35.75</v>
      </c>
      <c r="V13" s="14">
        <v>2</v>
      </c>
      <c r="Z13" s="18" t="s">
        <v>29</v>
      </c>
      <c r="AA13" s="19" t="s">
        <v>27</v>
      </c>
      <c r="AB13" s="19"/>
      <c r="AC13" s="19">
        <f t="shared" ref="AC13:AC16" si="2">AC12-AD13</f>
        <v>120.5</v>
      </c>
      <c r="AD13" s="19">
        <v>35.75</v>
      </c>
      <c r="AE13" s="20">
        <v>1</v>
      </c>
      <c r="AF13" s="2"/>
      <c r="AG13" s="21" t="s">
        <v>30</v>
      </c>
      <c r="AH13" s="22" t="s">
        <v>27</v>
      </c>
      <c r="AI13" s="22"/>
      <c r="AJ13" s="22"/>
      <c r="AK13" s="22">
        <v>35.75</v>
      </c>
      <c r="AL13" s="23">
        <v>2</v>
      </c>
    </row>
    <row r="14" spans="1:40" x14ac:dyDescent="0.25">
      <c r="A14" t="s">
        <v>32</v>
      </c>
      <c r="C14" s="1">
        <v>71.5</v>
      </c>
      <c r="D14" s="1">
        <v>79.5</v>
      </c>
      <c r="E14">
        <f t="shared" si="1"/>
        <v>35.75</v>
      </c>
      <c r="H14" s="6"/>
      <c r="I14" t="s">
        <v>29</v>
      </c>
      <c r="J14" t="s">
        <v>27</v>
      </c>
      <c r="M14">
        <v>35.75</v>
      </c>
      <c r="N14">
        <v>1</v>
      </c>
      <c r="Q14" s="16" t="s">
        <v>31</v>
      </c>
      <c r="R14" s="8" t="s">
        <v>25</v>
      </c>
      <c r="S14" s="8"/>
      <c r="T14" s="8"/>
      <c r="U14" s="8">
        <v>35.75</v>
      </c>
      <c r="V14" s="9">
        <v>3</v>
      </c>
      <c r="Z14" s="18" t="s">
        <v>31</v>
      </c>
      <c r="AA14" s="19" t="s">
        <v>25</v>
      </c>
      <c r="AB14" s="19"/>
      <c r="AC14" s="19">
        <f t="shared" si="2"/>
        <v>84.75</v>
      </c>
      <c r="AD14" s="19">
        <v>35.75</v>
      </c>
      <c r="AE14" s="20">
        <v>3</v>
      </c>
      <c r="AF14" s="2"/>
      <c r="AG14" s="21" t="s">
        <v>32</v>
      </c>
      <c r="AH14" s="22" t="s">
        <v>25</v>
      </c>
      <c r="AI14" s="22"/>
      <c r="AJ14" s="22"/>
      <c r="AK14" s="22">
        <v>35.75</v>
      </c>
      <c r="AL14" s="23">
        <v>4</v>
      </c>
    </row>
    <row r="15" spans="1:40" x14ac:dyDescent="0.25">
      <c r="A15" t="s">
        <v>33</v>
      </c>
      <c r="C15" s="1">
        <v>71.5</v>
      </c>
      <c r="D15" s="1">
        <v>79.5</v>
      </c>
      <c r="E15">
        <f t="shared" si="1"/>
        <v>35.75</v>
      </c>
      <c r="H15" s="6"/>
      <c r="I15" t="s">
        <v>29</v>
      </c>
      <c r="J15" t="s">
        <v>28</v>
      </c>
      <c r="M15">
        <v>79.5</v>
      </c>
      <c r="N15">
        <v>1</v>
      </c>
      <c r="Q15" s="17" t="s">
        <v>32</v>
      </c>
      <c r="R15" s="13" t="s">
        <v>25</v>
      </c>
      <c r="S15" s="13"/>
      <c r="T15" s="13"/>
      <c r="U15" s="13">
        <v>35.75</v>
      </c>
      <c r="V15" s="14">
        <v>4</v>
      </c>
      <c r="Z15" s="18" t="s">
        <v>31</v>
      </c>
      <c r="AA15" s="19" t="s">
        <v>27</v>
      </c>
      <c r="AB15" s="19"/>
      <c r="AC15" s="19">
        <f t="shared" si="2"/>
        <v>49</v>
      </c>
      <c r="AD15" s="19">
        <v>35.75</v>
      </c>
      <c r="AE15" s="20">
        <v>3</v>
      </c>
      <c r="AF15" s="2"/>
      <c r="AG15" s="21" t="s">
        <v>32</v>
      </c>
      <c r="AH15" s="22" t="s">
        <v>27</v>
      </c>
      <c r="AI15" s="22"/>
      <c r="AJ15" s="22"/>
      <c r="AK15" s="22">
        <v>35.75</v>
      </c>
      <c r="AL15" s="23">
        <v>4</v>
      </c>
    </row>
    <row r="16" spans="1:40" x14ac:dyDescent="0.25">
      <c r="A16" t="s">
        <v>34</v>
      </c>
      <c r="C16" s="1">
        <v>59.5</v>
      </c>
      <c r="D16" s="1">
        <v>79.5</v>
      </c>
      <c r="E16">
        <f t="shared" si="1"/>
        <v>29.75</v>
      </c>
      <c r="Q16" s="16" t="s">
        <v>34</v>
      </c>
      <c r="R16" s="8" t="s">
        <v>25</v>
      </c>
      <c r="S16" s="8"/>
      <c r="T16" s="8"/>
      <c r="U16" s="8">
        <v>29.75</v>
      </c>
      <c r="V16" s="9">
        <v>6</v>
      </c>
      <c r="Z16" s="18" t="s">
        <v>34</v>
      </c>
      <c r="AA16" s="19" t="s">
        <v>25</v>
      </c>
      <c r="AB16" s="19"/>
      <c r="AC16" s="19">
        <f t="shared" si="2"/>
        <v>19.25</v>
      </c>
      <c r="AD16" s="19">
        <v>29.75</v>
      </c>
      <c r="AE16" s="20">
        <v>6</v>
      </c>
      <c r="AF16" s="2"/>
      <c r="AG16" s="21" t="s">
        <v>35</v>
      </c>
      <c r="AH16" s="22" t="s">
        <v>25</v>
      </c>
      <c r="AI16" s="22"/>
      <c r="AJ16" s="22"/>
      <c r="AK16" s="22">
        <v>29.75</v>
      </c>
      <c r="AL16" s="23">
        <v>7</v>
      </c>
    </row>
    <row r="17" spans="1:41" x14ac:dyDescent="0.25">
      <c r="A17" t="s">
        <v>35</v>
      </c>
      <c r="C17" s="1">
        <v>59.5</v>
      </c>
      <c r="D17" s="1">
        <v>79.5</v>
      </c>
      <c r="E17">
        <f t="shared" si="1"/>
        <v>29.75</v>
      </c>
      <c r="I17" t="s">
        <v>30</v>
      </c>
      <c r="K17" s="1">
        <v>71.5</v>
      </c>
      <c r="L17" s="1">
        <v>79.5</v>
      </c>
      <c r="M17">
        <f>K17/2</f>
        <v>35.75</v>
      </c>
      <c r="Q17" s="17" t="s">
        <v>35</v>
      </c>
      <c r="R17" s="13" t="s">
        <v>25</v>
      </c>
      <c r="S17" s="13"/>
      <c r="T17" s="13"/>
      <c r="U17" s="13">
        <v>29.75</v>
      </c>
      <c r="V17" s="14">
        <v>7</v>
      </c>
      <c r="W17">
        <v>7</v>
      </c>
      <c r="AB17" t="s">
        <v>49</v>
      </c>
      <c r="AC17">
        <v>19.25</v>
      </c>
    </row>
    <row r="18" spans="1:41" x14ac:dyDescent="0.25">
      <c r="H18" s="6"/>
      <c r="I18" t="s">
        <v>30</v>
      </c>
      <c r="J18" t="s">
        <v>25</v>
      </c>
      <c r="M18">
        <v>35.75</v>
      </c>
      <c r="N18">
        <v>2</v>
      </c>
    </row>
    <row r="19" spans="1:41" x14ac:dyDescent="0.25">
      <c r="H19" s="6"/>
      <c r="I19" t="s">
        <v>30</v>
      </c>
      <c r="J19" t="s">
        <v>26</v>
      </c>
      <c r="M19">
        <v>79.5</v>
      </c>
      <c r="N19">
        <v>2</v>
      </c>
      <c r="Q19" s="7" t="s">
        <v>10</v>
      </c>
      <c r="R19" s="8" t="s">
        <v>18</v>
      </c>
      <c r="S19" s="8" t="s">
        <v>19</v>
      </c>
      <c r="T19" s="8" t="s">
        <v>21</v>
      </c>
      <c r="U19" s="8" t="s">
        <v>23</v>
      </c>
      <c r="V19" s="9"/>
      <c r="Y19" t="s">
        <v>45</v>
      </c>
      <c r="Z19" t="s">
        <v>50</v>
      </c>
      <c r="AC19">
        <v>192</v>
      </c>
    </row>
    <row r="20" spans="1:41" x14ac:dyDescent="0.25">
      <c r="A20" t="s">
        <v>61</v>
      </c>
      <c r="H20" s="6"/>
      <c r="I20" t="s">
        <v>30</v>
      </c>
      <c r="J20" t="s">
        <v>27</v>
      </c>
      <c r="M20">
        <v>35.75</v>
      </c>
      <c r="N20">
        <v>2</v>
      </c>
      <c r="Q20" s="17" t="s">
        <v>33</v>
      </c>
      <c r="R20" s="13" t="s">
        <v>25</v>
      </c>
      <c r="S20" s="13"/>
      <c r="T20" s="13"/>
      <c r="U20" s="13">
        <v>35.75</v>
      </c>
      <c r="V20" s="14">
        <v>5</v>
      </c>
      <c r="W20">
        <v>5</v>
      </c>
      <c r="Y20" t="s">
        <v>39</v>
      </c>
      <c r="Z20" s="7" t="s">
        <v>29</v>
      </c>
      <c r="AA20" s="8" t="s">
        <v>26</v>
      </c>
      <c r="AB20" s="8"/>
      <c r="AC20" s="8">
        <f>AC19-AD20</f>
        <v>112.5</v>
      </c>
      <c r="AD20" s="8">
        <v>79.5</v>
      </c>
      <c r="AE20" s="9">
        <v>1</v>
      </c>
      <c r="AG20" s="12" t="s">
        <v>30</v>
      </c>
      <c r="AH20" s="13" t="s">
        <v>26</v>
      </c>
      <c r="AI20" s="13"/>
      <c r="AJ20" s="13"/>
      <c r="AK20" s="13">
        <v>79.5</v>
      </c>
      <c r="AL20" s="14">
        <v>2</v>
      </c>
    </row>
    <row r="21" spans="1:41" x14ac:dyDescent="0.25">
      <c r="H21" s="6"/>
      <c r="I21" t="s">
        <v>30</v>
      </c>
      <c r="J21" t="s">
        <v>28</v>
      </c>
      <c r="M21">
        <v>79.5</v>
      </c>
      <c r="N21">
        <v>2</v>
      </c>
      <c r="Z21" s="7" t="s">
        <v>31</v>
      </c>
      <c r="AA21" s="8" t="s">
        <v>26</v>
      </c>
      <c r="AB21" s="8"/>
      <c r="AC21" s="8">
        <f>AC20-AD21</f>
        <v>33</v>
      </c>
      <c r="AD21" s="8">
        <v>79.5</v>
      </c>
      <c r="AE21" s="9">
        <v>3</v>
      </c>
      <c r="AG21" s="12" t="s">
        <v>32</v>
      </c>
      <c r="AH21" s="13" t="s">
        <v>26</v>
      </c>
      <c r="AI21" s="13"/>
      <c r="AJ21" s="13"/>
      <c r="AK21" s="13">
        <v>79.5</v>
      </c>
      <c r="AL21" s="14">
        <v>4</v>
      </c>
    </row>
    <row r="22" spans="1:41" x14ac:dyDescent="0.25">
      <c r="A22" t="s">
        <v>58</v>
      </c>
      <c r="Q22" s="7" t="s">
        <v>15</v>
      </c>
      <c r="R22" s="8" t="s">
        <v>18</v>
      </c>
      <c r="S22" s="8" t="s">
        <v>20</v>
      </c>
      <c r="T22" s="8" t="s">
        <v>21</v>
      </c>
      <c r="U22" s="8" t="s">
        <v>24</v>
      </c>
      <c r="V22" s="9"/>
      <c r="AB22" t="s">
        <v>49</v>
      </c>
      <c r="AC22">
        <v>33</v>
      </c>
    </row>
    <row r="23" spans="1:41" x14ac:dyDescent="0.25">
      <c r="A23" t="s">
        <v>10</v>
      </c>
      <c r="I23" t="s">
        <v>31</v>
      </c>
      <c r="K23" s="1">
        <v>71.5</v>
      </c>
      <c r="L23" s="1">
        <v>79.5</v>
      </c>
      <c r="M23">
        <f>K23/2</f>
        <v>35.75</v>
      </c>
      <c r="Q23" s="16" t="s">
        <v>29</v>
      </c>
      <c r="R23" s="8" t="s">
        <v>27</v>
      </c>
      <c r="S23" s="8"/>
      <c r="T23" s="8"/>
      <c r="U23" s="8">
        <v>35.75</v>
      </c>
      <c r="V23" s="9">
        <v>1</v>
      </c>
    </row>
    <row r="24" spans="1:41" x14ac:dyDescent="0.25">
      <c r="A24" t="s">
        <v>11</v>
      </c>
      <c r="H24" s="6"/>
      <c r="I24" t="s">
        <v>31</v>
      </c>
      <c r="J24" t="s">
        <v>25</v>
      </c>
      <c r="M24">
        <v>35.75</v>
      </c>
      <c r="N24">
        <v>3</v>
      </c>
      <c r="Q24" s="17" t="s">
        <v>30</v>
      </c>
      <c r="R24" s="13" t="s">
        <v>27</v>
      </c>
      <c r="S24" s="13"/>
      <c r="T24" s="13"/>
      <c r="U24" s="13">
        <v>35.75</v>
      </c>
      <c r="V24" s="14">
        <v>2</v>
      </c>
      <c r="Y24" t="s">
        <v>45</v>
      </c>
      <c r="Z24" t="s">
        <v>51</v>
      </c>
      <c r="AC24">
        <v>192</v>
      </c>
    </row>
    <row r="25" spans="1:41" x14ac:dyDescent="0.25">
      <c r="A25" t="s">
        <v>12</v>
      </c>
      <c r="C25" t="s">
        <v>66</v>
      </c>
      <c r="H25" s="6"/>
      <c r="I25" t="s">
        <v>31</v>
      </c>
      <c r="J25" t="s">
        <v>26</v>
      </c>
      <c r="M25">
        <v>79.5</v>
      </c>
      <c r="N25">
        <v>3</v>
      </c>
      <c r="Q25" s="16" t="s">
        <v>31</v>
      </c>
      <c r="R25" s="8" t="s">
        <v>27</v>
      </c>
      <c r="S25" s="8"/>
      <c r="T25" s="8"/>
      <c r="U25" s="8">
        <v>35.75</v>
      </c>
      <c r="V25" s="9">
        <v>3</v>
      </c>
      <c r="Y25" t="s">
        <v>39</v>
      </c>
      <c r="Z25" s="7" t="s">
        <v>29</v>
      </c>
      <c r="AA25" s="8" t="s">
        <v>28</v>
      </c>
      <c r="AB25" s="8"/>
      <c r="AC25" s="8">
        <f>AC24-AD25</f>
        <v>112.5</v>
      </c>
      <c r="AD25" s="8">
        <v>79.5</v>
      </c>
      <c r="AE25" s="9">
        <v>1</v>
      </c>
      <c r="AG25" s="12" t="s">
        <v>30</v>
      </c>
      <c r="AH25" s="13" t="s">
        <v>28</v>
      </c>
      <c r="AI25" s="13"/>
      <c r="AJ25" s="13"/>
      <c r="AK25" s="13">
        <v>79.5</v>
      </c>
      <c r="AL25" s="14">
        <v>2</v>
      </c>
      <c r="AN25">
        <v>1</v>
      </c>
      <c r="AO25">
        <v>2</v>
      </c>
    </row>
    <row r="26" spans="1:41" x14ac:dyDescent="0.25">
      <c r="A26" t="s">
        <v>13</v>
      </c>
      <c r="C26" t="s">
        <v>67</v>
      </c>
      <c r="H26" s="6"/>
      <c r="I26" t="s">
        <v>31</v>
      </c>
      <c r="J26" t="s">
        <v>27</v>
      </c>
      <c r="M26">
        <v>35.75</v>
      </c>
      <c r="N26">
        <v>3</v>
      </c>
      <c r="Q26" s="17" t="s">
        <v>32</v>
      </c>
      <c r="R26" s="13" t="s">
        <v>27</v>
      </c>
      <c r="S26" s="13"/>
      <c r="T26" s="13"/>
      <c r="U26" s="13">
        <v>35.75</v>
      </c>
      <c r="V26" s="14">
        <v>4</v>
      </c>
      <c r="W26">
        <v>4</v>
      </c>
      <c r="Z26" s="7" t="s">
        <v>31</v>
      </c>
      <c r="AA26" s="8" t="s">
        <v>28</v>
      </c>
      <c r="AB26" s="8"/>
      <c r="AC26" s="8">
        <f>AC25-AD26</f>
        <v>33</v>
      </c>
      <c r="AD26" s="8">
        <v>79.5</v>
      </c>
      <c r="AE26" s="9">
        <v>3</v>
      </c>
      <c r="AG26" s="12" t="s">
        <v>32</v>
      </c>
      <c r="AH26" s="13" t="s">
        <v>28</v>
      </c>
      <c r="AI26" s="13"/>
      <c r="AJ26" s="13"/>
      <c r="AK26" s="13">
        <v>79.5</v>
      </c>
      <c r="AL26" s="14">
        <v>4</v>
      </c>
      <c r="AN26">
        <v>3</v>
      </c>
      <c r="AO26">
        <v>4</v>
      </c>
    </row>
    <row r="27" spans="1:41" x14ac:dyDescent="0.25">
      <c r="A27" t="s">
        <v>14</v>
      </c>
      <c r="H27" s="6"/>
      <c r="I27" t="s">
        <v>31</v>
      </c>
      <c r="J27" t="s">
        <v>28</v>
      </c>
      <c r="M27">
        <v>79.5</v>
      </c>
      <c r="N27">
        <v>3</v>
      </c>
      <c r="Q27" s="16" t="s">
        <v>34</v>
      </c>
      <c r="R27" s="8" t="s">
        <v>27</v>
      </c>
      <c r="S27" s="8"/>
      <c r="T27" s="8"/>
      <c r="U27" s="8">
        <v>29.75</v>
      </c>
      <c r="V27" s="9">
        <v>6</v>
      </c>
      <c r="AB27" t="s">
        <v>49</v>
      </c>
      <c r="AC27">
        <v>33</v>
      </c>
    </row>
    <row r="28" spans="1:41" x14ac:dyDescent="0.25">
      <c r="A28" t="s">
        <v>15</v>
      </c>
      <c r="C28" t="s">
        <v>64</v>
      </c>
      <c r="Q28" s="17" t="s">
        <v>35</v>
      </c>
      <c r="R28" s="13" t="s">
        <v>27</v>
      </c>
      <c r="S28" s="13"/>
      <c r="T28" s="13"/>
      <c r="U28" s="13">
        <v>29.75</v>
      </c>
      <c r="V28" s="14">
        <v>7</v>
      </c>
      <c r="W28">
        <v>7</v>
      </c>
    </row>
    <row r="29" spans="1:41" x14ac:dyDescent="0.25">
      <c r="A29" t="s">
        <v>16</v>
      </c>
      <c r="C29" t="s">
        <v>65</v>
      </c>
      <c r="I29" t="s">
        <v>32</v>
      </c>
      <c r="K29" s="1">
        <v>71.5</v>
      </c>
      <c r="L29" s="1">
        <v>79.5</v>
      </c>
      <c r="M29">
        <f>K29/2</f>
        <v>35.75</v>
      </c>
      <c r="Y29" t="s">
        <v>45</v>
      </c>
      <c r="Z29" t="s">
        <v>54</v>
      </c>
      <c r="AC29">
        <v>192</v>
      </c>
    </row>
    <row r="30" spans="1:41" x14ac:dyDescent="0.25">
      <c r="A30" t="s">
        <v>17</v>
      </c>
      <c r="H30" s="6"/>
      <c r="I30" t="s">
        <v>32</v>
      </c>
      <c r="J30" t="s">
        <v>25</v>
      </c>
      <c r="M30">
        <v>35.75</v>
      </c>
      <c r="N30">
        <v>4</v>
      </c>
      <c r="Q30" s="7" t="s">
        <v>14</v>
      </c>
      <c r="R30" s="8" t="s">
        <v>18</v>
      </c>
      <c r="S30" s="8" t="s">
        <v>20</v>
      </c>
      <c r="T30" s="8" t="s">
        <v>21</v>
      </c>
      <c r="U30" s="8" t="s">
        <v>23</v>
      </c>
      <c r="V30" s="9"/>
      <c r="Y30" t="s">
        <v>39</v>
      </c>
      <c r="Z30" s="12" t="s">
        <v>33</v>
      </c>
      <c r="AA30" s="13" t="s">
        <v>25</v>
      </c>
      <c r="AB30" s="13"/>
      <c r="AC30" s="13">
        <f>AC29-AD30</f>
        <v>156.25</v>
      </c>
      <c r="AD30" s="13">
        <v>35.75</v>
      </c>
      <c r="AE30" s="14">
        <v>5</v>
      </c>
    </row>
    <row r="31" spans="1:41" x14ac:dyDescent="0.25">
      <c r="H31" s="6"/>
      <c r="I31" t="s">
        <v>32</v>
      </c>
      <c r="J31" t="s">
        <v>26</v>
      </c>
      <c r="M31">
        <v>79.5</v>
      </c>
      <c r="N31">
        <v>4</v>
      </c>
      <c r="Q31" s="17" t="s">
        <v>33</v>
      </c>
      <c r="R31" s="13" t="s">
        <v>27</v>
      </c>
      <c r="S31" s="13"/>
      <c r="T31" s="13"/>
      <c r="U31" s="13">
        <v>35.75</v>
      </c>
      <c r="V31" s="14">
        <v>5</v>
      </c>
      <c r="W31">
        <v>5</v>
      </c>
      <c r="Z31" s="12" t="s">
        <v>33</v>
      </c>
      <c r="AA31" s="13" t="s">
        <v>27</v>
      </c>
      <c r="AB31" s="13"/>
      <c r="AC31" s="13">
        <f>AC30-AD31</f>
        <v>120.5</v>
      </c>
      <c r="AD31" s="13">
        <v>35.75</v>
      </c>
      <c r="AE31" s="14">
        <v>5</v>
      </c>
    </row>
    <row r="32" spans="1:41" x14ac:dyDescent="0.25">
      <c r="A32" t="s">
        <v>59</v>
      </c>
      <c r="H32" s="6"/>
      <c r="I32" t="s">
        <v>32</v>
      </c>
      <c r="J32" t="s">
        <v>27</v>
      </c>
      <c r="M32">
        <v>35.75</v>
      </c>
      <c r="N32">
        <v>4</v>
      </c>
      <c r="AB32" t="s">
        <v>49</v>
      </c>
      <c r="AC32">
        <v>120.5</v>
      </c>
    </row>
    <row r="33" spans="1:41" x14ac:dyDescent="0.25">
      <c r="A33" t="s">
        <v>60</v>
      </c>
      <c r="H33" s="6"/>
      <c r="I33" t="s">
        <v>32</v>
      </c>
      <c r="J33" t="s">
        <v>28</v>
      </c>
      <c r="M33">
        <v>79.5</v>
      </c>
      <c r="N33">
        <v>4</v>
      </c>
      <c r="Q33" s="7" t="s">
        <v>13</v>
      </c>
      <c r="R33" s="8" t="s">
        <v>18</v>
      </c>
      <c r="S33" s="8" t="s">
        <v>19</v>
      </c>
      <c r="T33" s="8" t="s">
        <v>22</v>
      </c>
      <c r="U33" s="8" t="s">
        <v>24</v>
      </c>
      <c r="V33" s="9"/>
    </row>
    <row r="34" spans="1:41" x14ac:dyDescent="0.25">
      <c r="Q34" s="16" t="s">
        <v>29</v>
      </c>
      <c r="R34" s="8" t="s">
        <v>26</v>
      </c>
      <c r="S34" s="8"/>
      <c r="T34" s="8"/>
      <c r="U34" s="8">
        <v>79.5</v>
      </c>
      <c r="V34" s="9">
        <v>1</v>
      </c>
      <c r="Y34" t="s">
        <v>45</v>
      </c>
      <c r="Z34" t="s">
        <v>57</v>
      </c>
      <c r="AC34">
        <v>192</v>
      </c>
    </row>
    <row r="35" spans="1:41" x14ac:dyDescent="0.25">
      <c r="A35" t="s">
        <v>62</v>
      </c>
      <c r="I35" t="s">
        <v>33</v>
      </c>
      <c r="K35" s="1">
        <v>71.5</v>
      </c>
      <c r="L35" s="1">
        <v>79.5</v>
      </c>
      <c r="M35">
        <f>K35/2</f>
        <v>35.75</v>
      </c>
      <c r="Q35" s="17" t="s">
        <v>30</v>
      </c>
      <c r="R35" s="13" t="s">
        <v>26</v>
      </c>
      <c r="S35" s="13"/>
      <c r="T35" s="13"/>
      <c r="U35" s="13">
        <v>79.5</v>
      </c>
      <c r="V35" s="14">
        <v>2</v>
      </c>
      <c r="Y35" t="s">
        <v>39</v>
      </c>
      <c r="Z35" s="12" t="s">
        <v>35</v>
      </c>
      <c r="AA35" s="13" t="s">
        <v>26</v>
      </c>
      <c r="AB35" s="13"/>
      <c r="AC35" s="13">
        <f>AC34-AD35</f>
        <v>112.5</v>
      </c>
      <c r="AD35" s="13">
        <v>79.5</v>
      </c>
      <c r="AE35" s="14">
        <v>7</v>
      </c>
      <c r="AG35" s="12" t="s">
        <v>35</v>
      </c>
      <c r="AH35" s="13" t="s">
        <v>28</v>
      </c>
      <c r="AI35" s="13"/>
      <c r="AJ35" s="13"/>
      <c r="AK35" s="13">
        <v>79.5</v>
      </c>
      <c r="AL35" s="14">
        <v>7</v>
      </c>
    </row>
    <row r="36" spans="1:41" x14ac:dyDescent="0.25">
      <c r="A36" t="s">
        <v>63</v>
      </c>
      <c r="H36" s="6"/>
      <c r="I36" t="s">
        <v>33</v>
      </c>
      <c r="J36" t="s">
        <v>25</v>
      </c>
      <c r="M36">
        <v>35.75</v>
      </c>
      <c r="N36">
        <v>5</v>
      </c>
      <c r="Q36" s="16" t="s">
        <v>31</v>
      </c>
      <c r="R36" s="8" t="s">
        <v>26</v>
      </c>
      <c r="S36" s="8"/>
      <c r="T36" s="8"/>
      <c r="U36" s="8">
        <v>79.5</v>
      </c>
      <c r="V36" s="9">
        <v>3</v>
      </c>
      <c r="AB36" t="s">
        <v>49</v>
      </c>
      <c r="AC36">
        <v>112.5</v>
      </c>
    </row>
    <row r="37" spans="1:41" x14ac:dyDescent="0.25">
      <c r="H37" s="6"/>
      <c r="I37" t="s">
        <v>33</v>
      </c>
      <c r="J37" t="s">
        <v>26</v>
      </c>
      <c r="M37">
        <v>79.5</v>
      </c>
      <c r="N37">
        <v>5</v>
      </c>
      <c r="Q37" s="17" t="s">
        <v>32</v>
      </c>
      <c r="R37" s="13" t="s">
        <v>26</v>
      </c>
      <c r="S37" s="13"/>
      <c r="T37" s="13"/>
      <c r="U37" s="13">
        <v>79.5</v>
      </c>
      <c r="V37" s="14">
        <v>4</v>
      </c>
      <c r="W37">
        <v>4</v>
      </c>
    </row>
    <row r="38" spans="1:41" x14ac:dyDescent="0.25">
      <c r="A38" t="s">
        <v>68</v>
      </c>
      <c r="H38" s="6"/>
      <c r="I38" t="s">
        <v>33</v>
      </c>
      <c r="J38" t="s">
        <v>27</v>
      </c>
      <c r="M38">
        <v>35.75</v>
      </c>
      <c r="N38">
        <v>5</v>
      </c>
      <c r="Q38" s="16" t="s">
        <v>33</v>
      </c>
      <c r="R38" s="8" t="s">
        <v>26</v>
      </c>
      <c r="S38" s="8"/>
      <c r="T38" s="8"/>
      <c r="U38" s="8">
        <v>79.5</v>
      </c>
      <c r="V38" s="9">
        <v>5</v>
      </c>
      <c r="Y38" t="s">
        <v>45</v>
      </c>
      <c r="Z38" t="s">
        <v>46</v>
      </c>
      <c r="AC38">
        <v>192</v>
      </c>
    </row>
    <row r="39" spans="1:41" x14ac:dyDescent="0.25">
      <c r="A39" t="s">
        <v>69</v>
      </c>
      <c r="H39" s="6"/>
      <c r="I39" t="s">
        <v>33</v>
      </c>
      <c r="J39" t="s">
        <v>28</v>
      </c>
      <c r="M39">
        <v>79.5</v>
      </c>
      <c r="N39">
        <v>5</v>
      </c>
      <c r="Q39" s="17" t="s">
        <v>34</v>
      </c>
      <c r="R39" s="13" t="s">
        <v>26</v>
      </c>
      <c r="S39" s="13"/>
      <c r="T39" s="13"/>
      <c r="U39" s="13">
        <v>79.5</v>
      </c>
      <c r="V39" s="14">
        <v>6</v>
      </c>
      <c r="W39">
        <v>6</v>
      </c>
      <c r="Y39" t="s">
        <v>39</v>
      </c>
      <c r="Z39" s="7" t="s">
        <v>34</v>
      </c>
      <c r="AA39" s="8" t="s">
        <v>27</v>
      </c>
      <c r="AB39" s="8"/>
      <c r="AC39" s="8">
        <f>AC38-AD39</f>
        <v>162.25</v>
      </c>
      <c r="AD39" s="8">
        <v>29.75</v>
      </c>
      <c r="AE39" s="9">
        <v>6</v>
      </c>
      <c r="AG39" s="12" t="s">
        <v>35</v>
      </c>
      <c r="AH39" s="13" t="s">
        <v>27</v>
      </c>
      <c r="AI39" s="13"/>
      <c r="AJ39" s="13"/>
      <c r="AK39" s="13">
        <v>29.75</v>
      </c>
      <c r="AL39" s="14">
        <v>7</v>
      </c>
      <c r="AN39">
        <v>7</v>
      </c>
    </row>
    <row r="40" spans="1:41" x14ac:dyDescent="0.25">
      <c r="A40" t="s">
        <v>70</v>
      </c>
      <c r="AB40" t="s">
        <v>49</v>
      </c>
      <c r="AC40">
        <v>162.25</v>
      </c>
    </row>
    <row r="41" spans="1:41" x14ac:dyDescent="0.25">
      <c r="A41" t="s">
        <v>71</v>
      </c>
      <c r="I41" t="s">
        <v>34</v>
      </c>
      <c r="K41" s="1">
        <v>59.5</v>
      </c>
      <c r="L41" s="1">
        <v>79.5</v>
      </c>
      <c r="M41">
        <f>K41/2</f>
        <v>29.75</v>
      </c>
      <c r="Q41" s="7" t="s">
        <v>12</v>
      </c>
      <c r="R41" s="8" t="s">
        <v>18</v>
      </c>
      <c r="S41" s="8" t="s">
        <v>19</v>
      </c>
      <c r="T41" s="8" t="s">
        <v>22</v>
      </c>
      <c r="U41" s="8" t="s">
        <v>23</v>
      </c>
      <c r="V41" s="9"/>
    </row>
    <row r="42" spans="1:41" x14ac:dyDescent="0.25">
      <c r="H42" s="6"/>
      <c r="I42" t="s">
        <v>34</v>
      </c>
      <c r="J42" t="s">
        <v>25</v>
      </c>
      <c r="M42">
        <v>29.75</v>
      </c>
      <c r="N42">
        <v>6</v>
      </c>
      <c r="Q42" s="17" t="s">
        <v>35</v>
      </c>
      <c r="R42" s="13" t="s">
        <v>26</v>
      </c>
      <c r="S42" s="13"/>
      <c r="T42" s="13"/>
      <c r="U42" s="13">
        <v>79.5</v>
      </c>
      <c r="V42" s="14">
        <v>7</v>
      </c>
      <c r="W42">
        <v>7</v>
      </c>
      <c r="Y42" t="s">
        <v>45</v>
      </c>
      <c r="Z42" t="s">
        <v>57</v>
      </c>
      <c r="AC42">
        <v>192</v>
      </c>
    </row>
    <row r="43" spans="1:41" x14ac:dyDescent="0.25">
      <c r="A43" t="s">
        <v>62</v>
      </c>
      <c r="H43" s="6"/>
      <c r="I43" t="s">
        <v>34</v>
      </c>
      <c r="J43" t="s">
        <v>26</v>
      </c>
      <c r="M43">
        <v>79.5</v>
      </c>
      <c r="N43">
        <v>6</v>
      </c>
      <c r="Y43" t="s">
        <v>39</v>
      </c>
      <c r="Z43" s="7" t="s">
        <v>33</v>
      </c>
      <c r="AA43" s="8" t="s">
        <v>26</v>
      </c>
      <c r="AB43" s="8"/>
      <c r="AC43" s="8">
        <f>AC42-AD43</f>
        <v>112.5</v>
      </c>
      <c r="AD43" s="8">
        <v>79.5</v>
      </c>
      <c r="AE43" s="9">
        <v>5</v>
      </c>
      <c r="AG43" s="12" t="s">
        <v>34</v>
      </c>
      <c r="AH43" s="13" t="s">
        <v>26</v>
      </c>
      <c r="AI43" s="13"/>
      <c r="AJ43" s="13"/>
      <c r="AK43" s="13">
        <v>79.5</v>
      </c>
      <c r="AL43" s="14">
        <v>6</v>
      </c>
    </row>
    <row r="44" spans="1:41" x14ac:dyDescent="0.25">
      <c r="A44" t="s">
        <v>63</v>
      </c>
      <c r="H44" s="6"/>
      <c r="I44" t="s">
        <v>34</v>
      </c>
      <c r="J44" t="s">
        <v>27</v>
      </c>
      <c r="M44">
        <v>29.75</v>
      </c>
      <c r="N44">
        <v>6</v>
      </c>
      <c r="Q44" s="7" t="s">
        <v>17</v>
      </c>
      <c r="R44" s="8" t="s">
        <v>18</v>
      </c>
      <c r="S44" s="8" t="s">
        <v>20</v>
      </c>
      <c r="T44" s="8" t="s">
        <v>22</v>
      </c>
      <c r="U44" s="8" t="s">
        <v>24</v>
      </c>
      <c r="V44" s="9"/>
    </row>
    <row r="45" spans="1:41" x14ac:dyDescent="0.25">
      <c r="A45" t="s">
        <v>72</v>
      </c>
      <c r="H45" s="6"/>
      <c r="I45" t="s">
        <v>34</v>
      </c>
      <c r="J45" t="s">
        <v>28</v>
      </c>
      <c r="M45">
        <v>79.5</v>
      </c>
      <c r="N45">
        <v>6</v>
      </c>
      <c r="Q45" s="16" t="s">
        <v>29</v>
      </c>
      <c r="R45" s="8" t="s">
        <v>28</v>
      </c>
      <c r="S45" s="8"/>
      <c r="T45" s="8"/>
      <c r="U45" s="8">
        <v>79.5</v>
      </c>
      <c r="V45" s="9">
        <v>1</v>
      </c>
      <c r="Y45" t="s">
        <v>45</v>
      </c>
      <c r="Z45" t="s">
        <v>51</v>
      </c>
      <c r="AC45">
        <v>192</v>
      </c>
    </row>
    <row r="46" spans="1:41" x14ac:dyDescent="0.25">
      <c r="Q46" s="17" t="s">
        <v>30</v>
      </c>
      <c r="R46" s="13" t="s">
        <v>28</v>
      </c>
      <c r="S46" s="13"/>
      <c r="T46" s="13"/>
      <c r="U46" s="13">
        <v>79.5</v>
      </c>
      <c r="V46" s="14">
        <v>2</v>
      </c>
      <c r="Y46" t="s">
        <v>39</v>
      </c>
      <c r="Z46" s="7" t="s">
        <v>33</v>
      </c>
      <c r="AA46" s="8" t="s">
        <v>28</v>
      </c>
      <c r="AB46" s="8"/>
      <c r="AC46" s="8">
        <f>AC45-AD46</f>
        <v>112.5</v>
      </c>
      <c r="AD46" s="8">
        <v>79.5</v>
      </c>
      <c r="AE46" s="9">
        <v>5</v>
      </c>
      <c r="AG46" s="12" t="s">
        <v>34</v>
      </c>
      <c r="AH46" s="13" t="s">
        <v>28</v>
      </c>
      <c r="AI46" s="13"/>
      <c r="AJ46" s="13"/>
      <c r="AK46" s="13">
        <v>79.5</v>
      </c>
      <c r="AL46" s="14">
        <v>6</v>
      </c>
      <c r="AN46">
        <v>5</v>
      </c>
      <c r="AO46">
        <v>6</v>
      </c>
    </row>
    <row r="47" spans="1:41" x14ac:dyDescent="0.25">
      <c r="I47" t="s">
        <v>35</v>
      </c>
      <c r="K47" s="1">
        <v>59.5</v>
      </c>
      <c r="L47" s="1">
        <v>79.5</v>
      </c>
      <c r="M47">
        <f>K47/2</f>
        <v>29.75</v>
      </c>
      <c r="Q47" s="16" t="s">
        <v>31</v>
      </c>
      <c r="R47" s="8" t="s">
        <v>28</v>
      </c>
      <c r="S47" s="8"/>
      <c r="T47" s="8"/>
      <c r="U47" s="8">
        <v>79.5</v>
      </c>
      <c r="V47" s="9">
        <v>3</v>
      </c>
    </row>
    <row r="48" spans="1:41" x14ac:dyDescent="0.25">
      <c r="H48" s="6"/>
      <c r="I48" t="s">
        <v>35</v>
      </c>
      <c r="J48" t="s">
        <v>25</v>
      </c>
      <c r="M48">
        <v>29.75</v>
      </c>
      <c r="N48">
        <v>7</v>
      </c>
      <c r="Q48" s="17" t="s">
        <v>32</v>
      </c>
      <c r="R48" s="13" t="s">
        <v>28</v>
      </c>
      <c r="S48" s="13"/>
      <c r="T48" s="13"/>
      <c r="U48" s="13">
        <v>79.5</v>
      </c>
      <c r="V48" s="14">
        <v>4</v>
      </c>
      <c r="W48">
        <v>4</v>
      </c>
    </row>
    <row r="49" spans="8:23" x14ac:dyDescent="0.25">
      <c r="H49" s="6"/>
      <c r="I49" t="s">
        <v>35</v>
      </c>
      <c r="J49" t="s">
        <v>26</v>
      </c>
      <c r="M49">
        <v>79.5</v>
      </c>
      <c r="N49">
        <v>7</v>
      </c>
      <c r="Q49" s="16" t="s">
        <v>33</v>
      </c>
      <c r="R49" s="8" t="s">
        <v>28</v>
      </c>
      <c r="S49" s="8"/>
      <c r="T49" s="8"/>
      <c r="U49" s="8">
        <v>79.5</v>
      </c>
      <c r="V49" s="9">
        <v>5</v>
      </c>
    </row>
    <row r="50" spans="8:23" x14ac:dyDescent="0.25">
      <c r="H50" s="6"/>
      <c r="I50" t="s">
        <v>35</v>
      </c>
      <c r="J50" t="s">
        <v>27</v>
      </c>
      <c r="M50">
        <v>29.75</v>
      </c>
      <c r="N50">
        <v>7</v>
      </c>
      <c r="Q50" s="17" t="s">
        <v>34</v>
      </c>
      <c r="R50" s="13" t="s">
        <v>28</v>
      </c>
      <c r="S50" s="13"/>
      <c r="T50" s="13"/>
      <c r="U50" s="13">
        <v>79.5</v>
      </c>
      <c r="V50" s="14">
        <v>6</v>
      </c>
    </row>
    <row r="51" spans="8:23" x14ac:dyDescent="0.25">
      <c r="H51" s="6"/>
      <c r="I51" t="s">
        <v>35</v>
      </c>
      <c r="J51" t="s">
        <v>28</v>
      </c>
      <c r="M51">
        <v>79.5</v>
      </c>
      <c r="N51">
        <v>7</v>
      </c>
    </row>
    <row r="52" spans="8:23" x14ac:dyDescent="0.25">
      <c r="Q52" s="7" t="s">
        <v>16</v>
      </c>
      <c r="R52" s="8" t="s">
        <v>18</v>
      </c>
      <c r="S52" s="8" t="s">
        <v>20</v>
      </c>
      <c r="T52" s="8" t="s">
        <v>22</v>
      </c>
      <c r="U52" s="8" t="s">
        <v>23</v>
      </c>
      <c r="V52" s="9"/>
    </row>
    <row r="53" spans="8:23" x14ac:dyDescent="0.25">
      <c r="Q53" s="17" t="s">
        <v>35</v>
      </c>
      <c r="R53" s="13" t="s">
        <v>28</v>
      </c>
      <c r="S53" s="13"/>
      <c r="T53" s="13"/>
      <c r="U53" s="13">
        <v>79.5</v>
      </c>
      <c r="V53" s="14">
        <v>7</v>
      </c>
      <c r="W5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3667-2B87-49F0-9178-ABA190520AD4}">
  <dimension ref="A1:AS52"/>
  <sheetViews>
    <sheetView topLeftCell="O4" zoomScale="90" zoomScaleNormal="90" workbookViewId="0">
      <selection activeCell="AK24" sqref="AK24:AQ25"/>
    </sheetView>
  </sheetViews>
  <sheetFormatPr defaultRowHeight="15" x14ac:dyDescent="0.25"/>
  <cols>
    <col min="1" max="1" width="15.85546875" customWidth="1"/>
    <col min="9" max="9" width="12.42578125" bestFit="1" customWidth="1"/>
    <col min="10" max="10" width="17.7109375" bestFit="1" customWidth="1"/>
    <col min="11" max="11" width="10.42578125" customWidth="1"/>
    <col min="17" max="17" width="13" customWidth="1"/>
    <col min="20" max="20" width="3.42578125" customWidth="1"/>
    <col min="21" max="21" width="12.42578125" bestFit="1" customWidth="1"/>
    <col min="26" max="26" width="12.42578125" bestFit="1" customWidth="1"/>
    <col min="29" max="29" width="3.42578125" customWidth="1"/>
    <col min="30" max="30" width="12.42578125" customWidth="1"/>
    <col min="32" max="32" width="9.140625" customWidth="1"/>
    <col min="33" max="33" width="4" style="28" hidden="1" customWidth="1"/>
    <col min="37" max="37" width="17.85546875" bestFit="1" customWidth="1"/>
    <col min="40" max="40" width="11.140625" customWidth="1"/>
    <col min="41" max="41" width="12.42578125" bestFit="1" customWidth="1"/>
  </cols>
  <sheetData>
    <row r="1" spans="1:45" x14ac:dyDescent="0.25">
      <c r="A1" t="s">
        <v>1</v>
      </c>
    </row>
    <row r="2" spans="1:45" x14ac:dyDescent="0.25">
      <c r="B2" t="s">
        <v>3</v>
      </c>
      <c r="C2" t="s">
        <v>9</v>
      </c>
      <c r="D2" t="s">
        <v>8</v>
      </c>
      <c r="E2" t="s">
        <v>6</v>
      </c>
      <c r="F2" t="s">
        <v>7</v>
      </c>
      <c r="J2" t="s">
        <v>37</v>
      </c>
    </row>
    <row r="3" spans="1:45" x14ac:dyDescent="0.25">
      <c r="A3" t="s">
        <v>0</v>
      </c>
      <c r="B3">
        <v>2</v>
      </c>
      <c r="C3" s="1">
        <v>71.5</v>
      </c>
      <c r="D3" s="1">
        <v>79.5</v>
      </c>
      <c r="E3">
        <v>35.813000000000002</v>
      </c>
      <c r="F3">
        <v>77.125</v>
      </c>
    </row>
    <row r="4" spans="1:45" x14ac:dyDescent="0.25">
      <c r="A4" t="s">
        <v>2</v>
      </c>
      <c r="B4">
        <v>2</v>
      </c>
      <c r="C4" s="1">
        <v>71.5</v>
      </c>
      <c r="D4" s="1">
        <v>79.5</v>
      </c>
      <c r="E4">
        <v>35.813000000000002</v>
      </c>
      <c r="F4">
        <v>77.125</v>
      </c>
    </row>
    <row r="5" spans="1:45" x14ac:dyDescent="0.25">
      <c r="A5" t="s">
        <v>4</v>
      </c>
      <c r="B5">
        <v>1</v>
      </c>
      <c r="C5" s="1">
        <v>71.5</v>
      </c>
      <c r="D5" s="1">
        <v>79.5</v>
      </c>
      <c r="E5">
        <v>35.813000000000002</v>
      </c>
      <c r="F5">
        <v>77.125</v>
      </c>
      <c r="AH5" t="s">
        <v>44</v>
      </c>
      <c r="AI5">
        <v>192</v>
      </c>
    </row>
    <row r="6" spans="1:45" x14ac:dyDescent="0.25">
      <c r="A6" t="s">
        <v>5</v>
      </c>
      <c r="B6">
        <v>2</v>
      </c>
      <c r="C6" s="1">
        <v>59.5</v>
      </c>
      <c r="D6" s="1">
        <v>79.5</v>
      </c>
      <c r="E6">
        <v>29.812999999999999</v>
      </c>
      <c r="F6">
        <v>77.125</v>
      </c>
      <c r="AH6" t="s">
        <v>98</v>
      </c>
      <c r="AI6">
        <v>4.5</v>
      </c>
    </row>
    <row r="7" spans="1:45" x14ac:dyDescent="0.25">
      <c r="N7" t="s">
        <v>36</v>
      </c>
      <c r="AH7" t="s">
        <v>99</v>
      </c>
      <c r="AI7">
        <v>1</v>
      </c>
    </row>
    <row r="8" spans="1:45" x14ac:dyDescent="0.25">
      <c r="AS8" t="s">
        <v>100</v>
      </c>
    </row>
    <row r="9" spans="1:45" x14ac:dyDescent="0.25">
      <c r="K9" t="s">
        <v>6</v>
      </c>
      <c r="L9" t="s">
        <v>7</v>
      </c>
      <c r="AN9" t="s">
        <v>47</v>
      </c>
    </row>
    <row r="10" spans="1:45" x14ac:dyDescent="0.25">
      <c r="B10" t="s">
        <v>6</v>
      </c>
      <c r="C10" t="s">
        <v>7</v>
      </c>
      <c r="Q10" t="s">
        <v>11</v>
      </c>
      <c r="R10" t="s">
        <v>79</v>
      </c>
      <c r="AJ10" t="s">
        <v>95</v>
      </c>
      <c r="AK10" s="7" t="s">
        <v>96</v>
      </c>
      <c r="AL10" t="s">
        <v>97</v>
      </c>
      <c r="AN10" s="24">
        <f>AI5-AI6</f>
        <v>187.5</v>
      </c>
    </row>
    <row r="11" spans="1:45" x14ac:dyDescent="0.25">
      <c r="A11" t="s">
        <v>29</v>
      </c>
      <c r="B11">
        <v>35.813000000000002</v>
      </c>
      <c r="C11">
        <v>77.125</v>
      </c>
      <c r="D11" s="1"/>
      <c r="I11" t="s">
        <v>29</v>
      </c>
      <c r="K11">
        <v>35.813000000000002</v>
      </c>
      <c r="L11">
        <v>77.125</v>
      </c>
      <c r="Q11" t="s">
        <v>112</v>
      </c>
      <c r="R11" t="s">
        <v>47</v>
      </c>
      <c r="S11" t="s">
        <v>42</v>
      </c>
      <c r="U11" t="s">
        <v>112</v>
      </c>
      <c r="V11" t="s">
        <v>47</v>
      </c>
      <c r="W11" t="s">
        <v>42</v>
      </c>
      <c r="Z11" s="7" t="s">
        <v>11</v>
      </c>
      <c r="AA11" s="8" t="s">
        <v>79</v>
      </c>
      <c r="AB11" s="8"/>
      <c r="AC11" s="8"/>
      <c r="AD11" s="8"/>
      <c r="AE11" s="8"/>
      <c r="AF11" s="9"/>
      <c r="AJ11" t="s">
        <v>39</v>
      </c>
      <c r="AK11" s="44" t="s">
        <v>29</v>
      </c>
      <c r="AL11" s="3">
        <v>35.813000000000002</v>
      </c>
      <c r="AM11" s="3">
        <v>1</v>
      </c>
      <c r="AN11" s="45">
        <f>AN10-AL11-$AI$7</f>
        <v>150.68700000000001</v>
      </c>
      <c r="AO11" s="3" t="s">
        <v>30</v>
      </c>
      <c r="AP11">
        <v>35.813000000000002</v>
      </c>
      <c r="AQ11" s="11">
        <v>2</v>
      </c>
      <c r="AS11" t="s">
        <v>11</v>
      </c>
    </row>
    <row r="12" spans="1:45" x14ac:dyDescent="0.25">
      <c r="A12" t="s">
        <v>30</v>
      </c>
      <c r="B12">
        <v>35.813000000000002</v>
      </c>
      <c r="C12">
        <v>77.125</v>
      </c>
      <c r="D12" s="1"/>
      <c r="H12" s="5"/>
      <c r="I12" t="s">
        <v>29</v>
      </c>
      <c r="J12" t="s">
        <v>25</v>
      </c>
      <c r="M12">
        <v>35.813000000000002</v>
      </c>
      <c r="N12">
        <v>1</v>
      </c>
      <c r="Q12" t="s">
        <v>29</v>
      </c>
      <c r="R12">
        <v>35.813000000000002</v>
      </c>
      <c r="S12">
        <v>1</v>
      </c>
      <c r="T12" t="s">
        <v>117</v>
      </c>
      <c r="U12" t="s">
        <v>30</v>
      </c>
      <c r="V12">
        <v>35.813000000000002</v>
      </c>
      <c r="W12">
        <v>2</v>
      </c>
      <c r="Z12" s="25" t="s">
        <v>29</v>
      </c>
      <c r="AA12" s="26">
        <v>35.813000000000002</v>
      </c>
      <c r="AB12" s="26">
        <v>1</v>
      </c>
      <c r="AC12" s="26"/>
      <c r="AD12" s="26" t="s">
        <v>30</v>
      </c>
      <c r="AE12" s="26">
        <v>35.813000000000002</v>
      </c>
      <c r="AF12" s="27">
        <v>2</v>
      </c>
      <c r="AJ12" t="s">
        <v>39</v>
      </c>
      <c r="AK12" s="44" t="s">
        <v>29</v>
      </c>
      <c r="AL12" s="3">
        <v>35.813000000000002</v>
      </c>
      <c r="AM12" s="3">
        <v>1</v>
      </c>
      <c r="AN12" s="45">
        <f>AN11-AL12-$AI$7</f>
        <v>113.87400000000001</v>
      </c>
      <c r="AO12" s="3" t="s">
        <v>30</v>
      </c>
      <c r="AP12">
        <v>35.813000000000002</v>
      </c>
      <c r="AQ12" s="11">
        <v>2</v>
      </c>
      <c r="AS12" s="7" t="s">
        <v>80</v>
      </c>
    </row>
    <row r="13" spans="1:45" ht="15.75" thickBot="1" x14ac:dyDescent="0.3">
      <c r="A13" t="s">
        <v>31</v>
      </c>
      <c r="B13">
        <v>35.813000000000002</v>
      </c>
      <c r="C13">
        <v>77.125</v>
      </c>
      <c r="D13" s="1"/>
      <c r="H13" s="2"/>
      <c r="I13" t="s">
        <v>29</v>
      </c>
      <c r="J13" t="s">
        <v>26</v>
      </c>
      <c r="M13">
        <v>77.125</v>
      </c>
      <c r="N13">
        <v>1</v>
      </c>
      <c r="Q13" t="s">
        <v>31</v>
      </c>
      <c r="R13">
        <v>35.813000000000002</v>
      </c>
      <c r="S13">
        <v>3</v>
      </c>
      <c r="T13" t="s">
        <v>117</v>
      </c>
      <c r="U13" t="s">
        <v>32</v>
      </c>
      <c r="V13">
        <v>35.813000000000002</v>
      </c>
      <c r="W13">
        <v>4</v>
      </c>
      <c r="Z13" s="25" t="s">
        <v>31</v>
      </c>
      <c r="AA13" s="26">
        <v>35.813000000000002</v>
      </c>
      <c r="AB13" s="26">
        <v>3</v>
      </c>
      <c r="AC13" s="26"/>
      <c r="AD13" s="26" t="s">
        <v>32</v>
      </c>
      <c r="AE13" s="26">
        <v>35.813000000000002</v>
      </c>
      <c r="AF13" s="27">
        <v>4</v>
      </c>
      <c r="AG13" s="35"/>
      <c r="AJ13" t="s">
        <v>39</v>
      </c>
      <c r="AK13" s="44" t="s">
        <v>31</v>
      </c>
      <c r="AL13" s="3">
        <v>35.813000000000002</v>
      </c>
      <c r="AM13" s="3">
        <v>3</v>
      </c>
      <c r="AN13" s="45">
        <f>AN12-AL13-$AI$7</f>
        <v>77.061000000000007</v>
      </c>
      <c r="AO13" s="3" t="s">
        <v>32</v>
      </c>
      <c r="AP13">
        <v>35.813000000000002</v>
      </c>
      <c r="AQ13" s="11">
        <v>4</v>
      </c>
      <c r="AS13" t="s">
        <v>11</v>
      </c>
    </row>
    <row r="14" spans="1:45" ht="15.75" thickBot="1" x14ac:dyDescent="0.3">
      <c r="A14" t="s">
        <v>32</v>
      </c>
      <c r="B14">
        <v>35.813000000000002</v>
      </c>
      <c r="C14">
        <v>77.125</v>
      </c>
      <c r="D14" s="1"/>
      <c r="H14" s="6"/>
      <c r="I14" t="s">
        <v>29</v>
      </c>
      <c r="J14" t="s">
        <v>27</v>
      </c>
      <c r="M14">
        <v>35.813000000000002</v>
      </c>
      <c r="N14">
        <v>1</v>
      </c>
      <c r="Q14" t="s">
        <v>34</v>
      </c>
      <c r="R14">
        <v>29.812999999999999</v>
      </c>
      <c r="S14">
        <v>6</v>
      </c>
      <c r="T14" t="s">
        <v>117</v>
      </c>
      <c r="U14" t="s">
        <v>35</v>
      </c>
      <c r="V14">
        <v>29.812999999999999</v>
      </c>
      <c r="W14">
        <v>7</v>
      </c>
      <c r="Z14" s="29" t="s">
        <v>34</v>
      </c>
      <c r="AA14" s="30">
        <v>29.812999999999999</v>
      </c>
      <c r="AB14" s="30">
        <v>6</v>
      </c>
      <c r="AC14" s="30"/>
      <c r="AD14" s="30" t="s">
        <v>35</v>
      </c>
      <c r="AE14" s="30">
        <v>29.812999999999999</v>
      </c>
      <c r="AF14" s="30">
        <v>7</v>
      </c>
      <c r="AG14" s="36">
        <v>7</v>
      </c>
      <c r="AH14" s="43">
        <v>-1</v>
      </c>
      <c r="AJ14" t="s">
        <v>39</v>
      </c>
      <c r="AK14" s="44" t="s">
        <v>31</v>
      </c>
      <c r="AL14" s="3">
        <v>35.813000000000002</v>
      </c>
      <c r="AM14" s="3">
        <v>3</v>
      </c>
      <c r="AN14" s="45">
        <f>AN13-AL14-$AI$7</f>
        <v>40.248000000000005</v>
      </c>
      <c r="AO14" s="3" t="s">
        <v>32</v>
      </c>
      <c r="AP14">
        <v>35.813000000000002</v>
      </c>
      <c r="AQ14" s="11">
        <v>4</v>
      </c>
      <c r="AS14" t="s">
        <v>80</v>
      </c>
    </row>
    <row r="15" spans="1:45" x14ac:dyDescent="0.25">
      <c r="A15" t="s">
        <v>33</v>
      </c>
      <c r="B15">
        <v>35.813000000000002</v>
      </c>
      <c r="C15">
        <v>77.125</v>
      </c>
      <c r="D15" s="1"/>
      <c r="H15" s="2"/>
      <c r="I15" t="s">
        <v>29</v>
      </c>
      <c r="J15" t="s">
        <v>28</v>
      </c>
      <c r="M15">
        <v>77.125</v>
      </c>
      <c r="N15">
        <v>1</v>
      </c>
      <c r="Z15" s="37"/>
      <c r="AA15" s="37"/>
      <c r="AB15" s="37"/>
      <c r="AC15" s="37"/>
      <c r="AD15" s="37"/>
      <c r="AE15" s="37"/>
      <c r="AF15" s="37"/>
      <c r="AG15" s="35"/>
      <c r="AH15" s="37"/>
      <c r="AJ15" t="s">
        <v>39</v>
      </c>
      <c r="AK15" s="17" t="s">
        <v>34</v>
      </c>
      <c r="AL15" s="46">
        <v>29.812999999999999</v>
      </c>
      <c r="AM15" s="46">
        <v>6</v>
      </c>
      <c r="AN15" s="45">
        <f>AN14-AL15-$AI$7</f>
        <v>9.4350000000000058</v>
      </c>
      <c r="AO15" s="46" t="s">
        <v>35</v>
      </c>
      <c r="AP15" s="13">
        <v>29.812999999999999</v>
      </c>
      <c r="AQ15" s="13">
        <v>7</v>
      </c>
      <c r="AS15" t="s">
        <v>11</v>
      </c>
    </row>
    <row r="16" spans="1:45" x14ac:dyDescent="0.25">
      <c r="A16" t="s">
        <v>34</v>
      </c>
      <c r="B16">
        <v>29.812999999999999</v>
      </c>
      <c r="C16">
        <v>77.125</v>
      </c>
      <c r="D16" s="1"/>
      <c r="Q16" t="s">
        <v>80</v>
      </c>
      <c r="R16" t="s">
        <v>81</v>
      </c>
      <c r="Z16" s="40" t="s">
        <v>80</v>
      </c>
      <c r="AA16" s="41" t="s">
        <v>81</v>
      </c>
      <c r="AB16" s="41"/>
      <c r="AC16" s="41"/>
      <c r="AD16" s="41"/>
      <c r="AE16" s="41"/>
      <c r="AF16" s="42"/>
      <c r="AG16" s="35"/>
      <c r="AH16" s="37"/>
      <c r="AM16" t="s">
        <v>49</v>
      </c>
      <c r="AN16" s="24">
        <f>AN15</f>
        <v>9.4350000000000058</v>
      </c>
    </row>
    <row r="17" spans="1:45" x14ac:dyDescent="0.25">
      <c r="A17" t="s">
        <v>35</v>
      </c>
      <c r="B17">
        <v>29.812999999999999</v>
      </c>
      <c r="C17">
        <v>77.125</v>
      </c>
      <c r="D17" s="1"/>
      <c r="I17" t="s">
        <v>30</v>
      </c>
      <c r="K17">
        <v>35.813000000000002</v>
      </c>
      <c r="L17">
        <v>77.125</v>
      </c>
      <c r="Q17" t="s">
        <v>29</v>
      </c>
      <c r="R17">
        <v>35.813000000000002</v>
      </c>
      <c r="S17">
        <v>1</v>
      </c>
      <c r="T17" t="s">
        <v>117</v>
      </c>
      <c r="U17" t="s">
        <v>30</v>
      </c>
      <c r="V17">
        <v>35.813000000000002</v>
      </c>
      <c r="W17">
        <v>2</v>
      </c>
      <c r="Z17" s="25" t="s">
        <v>29</v>
      </c>
      <c r="AA17" s="26">
        <v>35.813000000000002</v>
      </c>
      <c r="AB17" s="26">
        <v>1</v>
      </c>
      <c r="AC17" s="26"/>
      <c r="AD17" s="26" t="s">
        <v>30</v>
      </c>
      <c r="AE17" s="26">
        <v>35.813000000000002</v>
      </c>
      <c r="AF17" s="27">
        <v>2</v>
      </c>
      <c r="AG17" s="35"/>
      <c r="AH17" s="37"/>
    </row>
    <row r="18" spans="1:45" ht="15.75" thickBot="1" x14ac:dyDescent="0.3">
      <c r="H18" s="6"/>
      <c r="I18" t="s">
        <v>30</v>
      </c>
      <c r="J18" t="s">
        <v>25</v>
      </c>
      <c r="M18">
        <v>35.813000000000002</v>
      </c>
      <c r="N18">
        <v>2</v>
      </c>
      <c r="Q18" t="s">
        <v>31</v>
      </c>
      <c r="R18">
        <v>35.813000000000002</v>
      </c>
      <c r="S18">
        <v>3</v>
      </c>
      <c r="T18" t="s">
        <v>117</v>
      </c>
      <c r="U18" t="s">
        <v>32</v>
      </c>
      <c r="V18">
        <v>35.813000000000002</v>
      </c>
      <c r="W18">
        <v>4</v>
      </c>
      <c r="Z18" s="25" t="s">
        <v>31</v>
      </c>
      <c r="AA18" s="26">
        <v>35.813000000000002</v>
      </c>
      <c r="AB18" s="26">
        <v>3</v>
      </c>
      <c r="AC18" s="26"/>
      <c r="AD18" s="26" t="s">
        <v>32</v>
      </c>
      <c r="AE18" s="26">
        <v>35.813000000000002</v>
      </c>
      <c r="AF18" s="27">
        <v>4</v>
      </c>
      <c r="AG18" s="35"/>
      <c r="AH18" s="37"/>
      <c r="AJ18" t="s">
        <v>95</v>
      </c>
      <c r="AK18" t="s">
        <v>104</v>
      </c>
      <c r="AL18" t="s">
        <v>105</v>
      </c>
      <c r="AN18" s="24">
        <f>AI5-AI6</f>
        <v>187.5</v>
      </c>
    </row>
    <row r="19" spans="1:45" ht="15.75" thickBot="1" x14ac:dyDescent="0.3">
      <c r="H19" s="2"/>
      <c r="I19" t="s">
        <v>30</v>
      </c>
      <c r="J19" t="s">
        <v>26</v>
      </c>
      <c r="M19">
        <v>77.125</v>
      </c>
      <c r="N19">
        <v>2</v>
      </c>
      <c r="Q19" t="s">
        <v>34</v>
      </c>
      <c r="R19">
        <v>29.812999999999999</v>
      </c>
      <c r="S19">
        <v>6</v>
      </c>
      <c r="T19" t="s">
        <v>117</v>
      </c>
      <c r="U19" t="s">
        <v>35</v>
      </c>
      <c r="V19">
        <v>29.812999999999999</v>
      </c>
      <c r="W19">
        <v>7</v>
      </c>
      <c r="Z19" s="38" t="s">
        <v>34</v>
      </c>
      <c r="AA19" s="39">
        <v>29.812999999999999</v>
      </c>
      <c r="AB19" s="39">
        <v>6</v>
      </c>
      <c r="AC19" s="39"/>
      <c r="AD19" s="39" t="s">
        <v>35</v>
      </c>
      <c r="AE19" s="39">
        <v>29.812999999999999</v>
      </c>
      <c r="AF19" s="39">
        <v>7</v>
      </c>
      <c r="AG19" s="36">
        <v>7</v>
      </c>
      <c r="AH19" s="43">
        <v>4</v>
      </c>
      <c r="AJ19" t="s">
        <v>39</v>
      </c>
      <c r="AK19" s="44" t="s">
        <v>29</v>
      </c>
      <c r="AL19" s="3">
        <v>77.125</v>
      </c>
      <c r="AM19" s="3">
        <v>1</v>
      </c>
      <c r="AN19" s="45">
        <f>AN18-AL19-$AI$7</f>
        <v>109.375</v>
      </c>
      <c r="AO19" s="3" t="s">
        <v>30</v>
      </c>
      <c r="AP19" s="3">
        <v>77.125</v>
      </c>
      <c r="AQ19" s="47">
        <v>2</v>
      </c>
      <c r="AS19" s="7" t="s">
        <v>13</v>
      </c>
    </row>
    <row r="20" spans="1:45" x14ac:dyDescent="0.25">
      <c r="A20" t="s">
        <v>61</v>
      </c>
      <c r="H20" s="6"/>
      <c r="I20" t="s">
        <v>30</v>
      </c>
      <c r="J20" t="s">
        <v>27</v>
      </c>
      <c r="M20">
        <v>35.813000000000002</v>
      </c>
      <c r="N20">
        <v>2</v>
      </c>
      <c r="Z20" s="37"/>
      <c r="AA20" s="37"/>
      <c r="AB20" s="37"/>
      <c r="AC20" s="37"/>
      <c r="AD20" s="37"/>
      <c r="AE20" s="37"/>
      <c r="AF20" s="37"/>
      <c r="AG20" s="35"/>
      <c r="AH20" s="37"/>
      <c r="AK20" s="44" t="s">
        <v>31</v>
      </c>
      <c r="AL20" s="3">
        <v>77.125</v>
      </c>
      <c r="AM20" s="3">
        <v>3</v>
      </c>
      <c r="AN20" s="45">
        <f>AN19-AL20-$AI$7</f>
        <v>31.25</v>
      </c>
      <c r="AO20" s="3" t="s">
        <v>32</v>
      </c>
      <c r="AP20" s="3">
        <v>77.125</v>
      </c>
      <c r="AQ20" s="47">
        <v>4</v>
      </c>
      <c r="AS20" s="7" t="s">
        <v>13</v>
      </c>
    </row>
    <row r="21" spans="1:45" x14ac:dyDescent="0.25">
      <c r="H21" s="2"/>
      <c r="I21" t="s">
        <v>30</v>
      </c>
      <c r="J21" t="s">
        <v>28</v>
      </c>
      <c r="M21">
        <v>77.125</v>
      </c>
      <c r="N21">
        <v>2</v>
      </c>
      <c r="Q21" t="s">
        <v>13</v>
      </c>
      <c r="R21" t="s">
        <v>82</v>
      </c>
      <c r="Z21" s="40" t="s">
        <v>13</v>
      </c>
      <c r="AA21" s="41" t="s">
        <v>82</v>
      </c>
      <c r="AB21" s="41"/>
      <c r="AC21" s="41"/>
      <c r="AD21" s="41"/>
      <c r="AE21" s="41"/>
      <c r="AF21" s="42"/>
      <c r="AG21" s="35"/>
      <c r="AH21" s="37"/>
      <c r="AM21" t="s">
        <v>49</v>
      </c>
      <c r="AN21">
        <f>AN20</f>
        <v>31.25</v>
      </c>
    </row>
    <row r="22" spans="1:45" x14ac:dyDescent="0.25">
      <c r="A22" t="s">
        <v>58</v>
      </c>
      <c r="Q22" t="s">
        <v>29</v>
      </c>
      <c r="R22">
        <v>77.125</v>
      </c>
      <c r="S22">
        <v>1</v>
      </c>
      <c r="T22" t="s">
        <v>117</v>
      </c>
      <c r="U22" t="s">
        <v>30</v>
      </c>
      <c r="V22">
        <v>77.125</v>
      </c>
      <c r="W22">
        <v>2</v>
      </c>
      <c r="Z22" s="25" t="s">
        <v>29</v>
      </c>
      <c r="AA22" s="26">
        <v>77.125</v>
      </c>
      <c r="AB22" s="26">
        <v>1</v>
      </c>
      <c r="AC22" s="26"/>
      <c r="AD22" s="26" t="s">
        <v>30</v>
      </c>
      <c r="AE22" s="26">
        <v>77.125</v>
      </c>
      <c r="AF22" s="27">
        <v>2</v>
      </c>
      <c r="AG22" s="35"/>
      <c r="AH22" s="37"/>
    </row>
    <row r="23" spans="1:45" ht="15.75" thickBot="1" x14ac:dyDescent="0.3">
      <c r="A23" t="s">
        <v>10</v>
      </c>
      <c r="I23" t="s">
        <v>31</v>
      </c>
      <c r="K23">
        <v>35.813000000000002</v>
      </c>
      <c r="L23">
        <v>77.125</v>
      </c>
      <c r="Q23" t="s">
        <v>31</v>
      </c>
      <c r="R23">
        <v>77.125</v>
      </c>
      <c r="S23">
        <v>3</v>
      </c>
      <c r="T23" t="s">
        <v>117</v>
      </c>
      <c r="U23" t="s">
        <v>32</v>
      </c>
      <c r="V23">
        <v>77.125</v>
      </c>
      <c r="W23">
        <v>4</v>
      </c>
      <c r="Z23" s="25" t="s">
        <v>31</v>
      </c>
      <c r="AA23" s="26">
        <v>77.125</v>
      </c>
      <c r="AB23" s="26">
        <v>3</v>
      </c>
      <c r="AC23" s="26"/>
      <c r="AD23" s="26" t="s">
        <v>32</v>
      </c>
      <c r="AE23" s="26">
        <v>77.125</v>
      </c>
      <c r="AF23" s="27">
        <v>4</v>
      </c>
      <c r="AG23" s="35"/>
      <c r="AH23" s="37"/>
      <c r="AJ23" t="s">
        <v>95</v>
      </c>
      <c r="AK23" t="s">
        <v>106</v>
      </c>
      <c r="AL23" t="s">
        <v>107</v>
      </c>
      <c r="AN23" s="24">
        <f>AI5-AI6</f>
        <v>187.5</v>
      </c>
    </row>
    <row r="24" spans="1:45" ht="15.75" thickBot="1" x14ac:dyDescent="0.3">
      <c r="A24" t="s">
        <v>11</v>
      </c>
      <c r="H24" s="6"/>
      <c r="I24" t="s">
        <v>31</v>
      </c>
      <c r="J24" t="s">
        <v>25</v>
      </c>
      <c r="M24">
        <v>35.813000000000002</v>
      </c>
      <c r="N24">
        <v>3</v>
      </c>
      <c r="Q24" t="s">
        <v>33</v>
      </c>
      <c r="R24">
        <v>77.125</v>
      </c>
      <c r="S24">
        <v>5</v>
      </c>
      <c r="T24" t="s">
        <v>117</v>
      </c>
      <c r="U24" t="s">
        <v>34</v>
      </c>
      <c r="V24">
        <v>77.125</v>
      </c>
      <c r="W24">
        <v>6</v>
      </c>
      <c r="Z24" s="38" t="s">
        <v>33</v>
      </c>
      <c r="AA24" s="39">
        <v>77.125</v>
      </c>
      <c r="AB24" s="39">
        <v>5</v>
      </c>
      <c r="AC24" s="39"/>
      <c r="AD24" s="39" t="s">
        <v>34</v>
      </c>
      <c r="AE24" s="39">
        <v>77.125</v>
      </c>
      <c r="AF24" s="39">
        <v>6</v>
      </c>
      <c r="AG24" s="36">
        <v>6</v>
      </c>
      <c r="AH24" s="43">
        <v>4</v>
      </c>
      <c r="AJ24" t="s">
        <v>39</v>
      </c>
      <c r="AK24" s="44" t="s">
        <v>29</v>
      </c>
      <c r="AL24" s="3">
        <v>77.125</v>
      </c>
      <c r="AM24" s="3">
        <v>1</v>
      </c>
      <c r="AN24" s="45">
        <f>AN23-AL24-$AI$7</f>
        <v>109.375</v>
      </c>
      <c r="AO24" s="3" t="s">
        <v>30</v>
      </c>
      <c r="AP24" s="3">
        <v>77.125</v>
      </c>
      <c r="AQ24" s="47">
        <v>2</v>
      </c>
      <c r="AR24" t="s">
        <v>108</v>
      </c>
      <c r="AS24" t="s">
        <v>83</v>
      </c>
    </row>
    <row r="25" spans="1:45" x14ac:dyDescent="0.25">
      <c r="A25" t="s">
        <v>12</v>
      </c>
      <c r="C25" t="s">
        <v>66</v>
      </c>
      <c r="H25" s="2"/>
      <c r="I25" t="s">
        <v>31</v>
      </c>
      <c r="J25" t="s">
        <v>26</v>
      </c>
      <c r="M25">
        <v>77.125</v>
      </c>
      <c r="N25">
        <v>3</v>
      </c>
      <c r="Z25" s="37"/>
      <c r="AA25" s="37"/>
      <c r="AB25" s="37"/>
      <c r="AC25" s="37"/>
      <c r="AD25" s="37"/>
      <c r="AE25" s="37"/>
      <c r="AF25" s="37"/>
      <c r="AG25" s="35"/>
      <c r="AH25" s="37"/>
      <c r="AK25" s="44" t="s">
        <v>31</v>
      </c>
      <c r="AL25" s="3">
        <v>77.125</v>
      </c>
      <c r="AM25" s="3">
        <v>3</v>
      </c>
      <c r="AN25" s="45">
        <f>AN24-AL25-$AI$7</f>
        <v>31.25</v>
      </c>
      <c r="AO25" s="3" t="s">
        <v>32</v>
      </c>
      <c r="AP25" s="3">
        <v>77.125</v>
      </c>
      <c r="AQ25" s="47">
        <v>4</v>
      </c>
      <c r="AR25" t="s">
        <v>109</v>
      </c>
      <c r="AS25" t="s">
        <v>83</v>
      </c>
    </row>
    <row r="26" spans="1:45" x14ac:dyDescent="0.25">
      <c r="A26" t="s">
        <v>13</v>
      </c>
      <c r="C26" t="s">
        <v>67</v>
      </c>
      <c r="H26" s="6"/>
      <c r="I26" t="s">
        <v>31</v>
      </c>
      <c r="J26" t="s">
        <v>27</v>
      </c>
      <c r="M26">
        <v>35.813000000000002</v>
      </c>
      <c r="N26">
        <v>3</v>
      </c>
      <c r="Q26" t="s">
        <v>83</v>
      </c>
      <c r="R26" t="s">
        <v>84</v>
      </c>
      <c r="Z26" s="40" t="s">
        <v>83</v>
      </c>
      <c r="AA26" s="41" t="s">
        <v>84</v>
      </c>
      <c r="AB26" s="41"/>
      <c r="AC26" s="41"/>
      <c r="AD26" s="41"/>
      <c r="AE26" s="41"/>
      <c r="AF26" s="42"/>
      <c r="AG26" s="35"/>
      <c r="AH26" s="37"/>
      <c r="AM26" t="s">
        <v>49</v>
      </c>
      <c r="AN26">
        <f>AN25</f>
        <v>31.25</v>
      </c>
    </row>
    <row r="27" spans="1:45" x14ac:dyDescent="0.25">
      <c r="A27" t="s">
        <v>14</v>
      </c>
      <c r="H27" s="2"/>
      <c r="I27" t="s">
        <v>31</v>
      </c>
      <c r="J27" t="s">
        <v>28</v>
      </c>
      <c r="M27">
        <v>77.125</v>
      </c>
      <c r="N27">
        <v>3</v>
      </c>
      <c r="Q27" t="s">
        <v>29</v>
      </c>
      <c r="R27">
        <v>77.125</v>
      </c>
      <c r="S27">
        <v>1</v>
      </c>
      <c r="T27" t="s">
        <v>117</v>
      </c>
      <c r="U27" t="s">
        <v>30</v>
      </c>
      <c r="V27">
        <v>77.125</v>
      </c>
      <c r="W27">
        <v>2</v>
      </c>
      <c r="Z27" s="25" t="s">
        <v>29</v>
      </c>
      <c r="AA27" s="26">
        <v>77.125</v>
      </c>
      <c r="AB27" s="26">
        <v>1</v>
      </c>
      <c r="AC27" s="26"/>
      <c r="AD27" s="26" t="s">
        <v>30</v>
      </c>
      <c r="AE27" s="26">
        <v>77.125</v>
      </c>
      <c r="AF27" s="27">
        <v>2</v>
      </c>
      <c r="AG27" s="35"/>
      <c r="AH27" s="37"/>
    </row>
    <row r="28" spans="1:45" ht="15.75" thickBot="1" x14ac:dyDescent="0.3">
      <c r="A28" t="s">
        <v>15</v>
      </c>
      <c r="C28" t="s">
        <v>64</v>
      </c>
      <c r="Q28" t="s">
        <v>31</v>
      </c>
      <c r="R28">
        <v>77.125</v>
      </c>
      <c r="S28">
        <v>3</v>
      </c>
      <c r="T28" t="s">
        <v>117</v>
      </c>
      <c r="U28" t="s">
        <v>32</v>
      </c>
      <c r="V28">
        <v>77.125</v>
      </c>
      <c r="W28">
        <v>4</v>
      </c>
      <c r="Z28" s="25" t="s">
        <v>31</v>
      </c>
      <c r="AA28" s="26">
        <v>77.125</v>
      </c>
      <c r="AB28" s="26">
        <v>3</v>
      </c>
      <c r="AC28" s="26"/>
      <c r="AD28" s="26" t="s">
        <v>32</v>
      </c>
      <c r="AE28" s="26">
        <v>77.125</v>
      </c>
      <c r="AF28" s="27">
        <v>4</v>
      </c>
      <c r="AG28" s="35"/>
      <c r="AH28" s="37"/>
    </row>
    <row r="29" spans="1:45" ht="15.75" thickBot="1" x14ac:dyDescent="0.3">
      <c r="A29" t="s">
        <v>16</v>
      </c>
      <c r="C29" t="s">
        <v>65</v>
      </c>
      <c r="I29" t="s">
        <v>32</v>
      </c>
      <c r="K29">
        <v>35.813000000000002</v>
      </c>
      <c r="L29">
        <v>77.125</v>
      </c>
      <c r="Q29" t="s">
        <v>33</v>
      </c>
      <c r="R29">
        <v>77.125</v>
      </c>
      <c r="S29">
        <v>5</v>
      </c>
      <c r="T29" t="s">
        <v>117</v>
      </c>
      <c r="U29" t="s">
        <v>34</v>
      </c>
      <c r="V29">
        <v>77.125</v>
      </c>
      <c r="W29">
        <v>6</v>
      </c>
      <c r="Z29" s="38" t="s">
        <v>33</v>
      </c>
      <c r="AA29" s="39">
        <v>77.125</v>
      </c>
      <c r="AB29" s="39">
        <v>5</v>
      </c>
      <c r="AC29" s="39"/>
      <c r="AD29" s="39" t="s">
        <v>34</v>
      </c>
      <c r="AE29" s="39">
        <v>77.125</v>
      </c>
      <c r="AF29" s="39">
        <v>6</v>
      </c>
      <c r="AG29" s="36">
        <v>6</v>
      </c>
      <c r="AH29" s="43">
        <v>4</v>
      </c>
      <c r="AJ29" t="s">
        <v>95</v>
      </c>
      <c r="AK29" s="7" t="s">
        <v>96</v>
      </c>
      <c r="AL29" t="s">
        <v>97</v>
      </c>
      <c r="AN29" s="24">
        <f>AI5-AI6</f>
        <v>187.5</v>
      </c>
    </row>
    <row r="30" spans="1:45" x14ac:dyDescent="0.25">
      <c r="A30" t="s">
        <v>17</v>
      </c>
      <c r="H30" s="6"/>
      <c r="I30" t="s">
        <v>32</v>
      </c>
      <c r="J30" t="s">
        <v>25</v>
      </c>
      <c r="M30">
        <v>35.813000000000002</v>
      </c>
      <c r="N30">
        <v>4</v>
      </c>
      <c r="Z30" s="37"/>
      <c r="AA30" s="37"/>
      <c r="AB30" s="37"/>
      <c r="AC30" s="37"/>
      <c r="AD30" s="37"/>
      <c r="AE30" s="37"/>
      <c r="AF30" s="37"/>
      <c r="AG30" s="35"/>
      <c r="AH30" s="37"/>
      <c r="AJ30" t="s">
        <v>39</v>
      </c>
      <c r="AK30" s="12" t="s">
        <v>34</v>
      </c>
      <c r="AL30" s="13">
        <v>29.812999999999999</v>
      </c>
      <c r="AM30" s="13">
        <v>6</v>
      </c>
      <c r="AN30" s="31">
        <f>AN29-AL30-$AI$7</f>
        <v>156.68700000000001</v>
      </c>
      <c r="AO30" s="13" t="s">
        <v>35</v>
      </c>
      <c r="AP30" s="13">
        <v>29.812999999999999</v>
      </c>
      <c r="AQ30" s="13">
        <v>7</v>
      </c>
      <c r="AS30" t="s">
        <v>80</v>
      </c>
    </row>
    <row r="31" spans="1:45" ht="15.75" thickBot="1" x14ac:dyDescent="0.3">
      <c r="H31" s="2"/>
      <c r="I31" t="s">
        <v>32</v>
      </c>
      <c r="J31" t="s">
        <v>26</v>
      </c>
      <c r="M31">
        <v>77.125</v>
      </c>
      <c r="N31">
        <v>4</v>
      </c>
      <c r="Z31" s="40" t="s">
        <v>93</v>
      </c>
      <c r="AA31" s="41" t="s">
        <v>94</v>
      </c>
      <c r="AB31" s="41"/>
      <c r="AC31" s="41"/>
      <c r="AD31" s="41"/>
      <c r="AE31" s="41"/>
      <c r="AF31" s="42"/>
      <c r="AG31" s="35"/>
      <c r="AH31" s="37"/>
      <c r="AK31" s="12" t="s">
        <v>33</v>
      </c>
      <c r="AL31" s="13">
        <v>35.813000000000002</v>
      </c>
      <c r="AM31" s="13">
        <v>5</v>
      </c>
      <c r="AN31" s="31">
        <f>AN30-AL31-$AI$7</f>
        <v>119.87400000000001</v>
      </c>
      <c r="AO31" s="13" t="s">
        <v>33</v>
      </c>
      <c r="AP31" s="13">
        <v>35.813000000000002</v>
      </c>
      <c r="AQ31" s="13">
        <v>5</v>
      </c>
      <c r="AS31" t="s">
        <v>93</v>
      </c>
    </row>
    <row r="32" spans="1:45" ht="15.75" thickBot="1" x14ac:dyDescent="0.3">
      <c r="A32" t="s">
        <v>59</v>
      </c>
      <c r="H32" s="6"/>
      <c r="I32" t="s">
        <v>32</v>
      </c>
      <c r="J32" t="s">
        <v>27</v>
      </c>
      <c r="M32">
        <v>35.813000000000002</v>
      </c>
      <c r="N32">
        <v>4</v>
      </c>
      <c r="Q32" s="4" t="s">
        <v>10</v>
      </c>
      <c r="R32" s="4" t="s">
        <v>85</v>
      </c>
      <c r="S32" s="4"/>
      <c r="Z32" s="38" t="s">
        <v>33</v>
      </c>
      <c r="AA32" s="39">
        <v>35.813000000000002</v>
      </c>
      <c r="AB32" s="39">
        <v>5</v>
      </c>
      <c r="AC32" s="39"/>
      <c r="AD32" s="39" t="s">
        <v>33</v>
      </c>
      <c r="AE32" s="39">
        <v>35.813000000000002</v>
      </c>
      <c r="AF32" s="39">
        <v>5</v>
      </c>
      <c r="AG32" s="36">
        <v>5</v>
      </c>
      <c r="AH32" s="43">
        <v>5</v>
      </c>
      <c r="AM32" t="s">
        <v>49</v>
      </c>
      <c r="AN32">
        <f>AN31</f>
        <v>119.87400000000001</v>
      </c>
    </row>
    <row r="33" spans="1:45" x14ac:dyDescent="0.25">
      <c r="A33" t="s">
        <v>60</v>
      </c>
      <c r="H33" s="2"/>
      <c r="I33" t="s">
        <v>32</v>
      </c>
      <c r="J33" t="s">
        <v>28</v>
      </c>
      <c r="M33">
        <v>77.125</v>
      </c>
      <c r="N33">
        <v>4</v>
      </c>
      <c r="P33" s="2"/>
      <c r="Q33" s="4" t="s">
        <v>33</v>
      </c>
      <c r="R33" s="4">
        <v>35.813000000000002</v>
      </c>
      <c r="S33" s="4">
        <v>5</v>
      </c>
      <c r="AG33" s="35"/>
      <c r="AH33" s="37"/>
    </row>
    <row r="34" spans="1:45" ht="15.75" thickBot="1" x14ac:dyDescent="0.3">
      <c r="Z34" s="7" t="s">
        <v>91</v>
      </c>
      <c r="AA34" s="8" t="s">
        <v>92</v>
      </c>
      <c r="AB34" s="8"/>
      <c r="AC34" s="8"/>
      <c r="AD34" s="8"/>
      <c r="AE34" s="8"/>
      <c r="AF34" s="9"/>
      <c r="AG34" s="35"/>
      <c r="AH34" s="37"/>
      <c r="AJ34" t="s">
        <v>95</v>
      </c>
      <c r="AK34" t="s">
        <v>104</v>
      </c>
      <c r="AL34" t="s">
        <v>105</v>
      </c>
      <c r="AN34" s="24">
        <f>AI5-AI6</f>
        <v>187.5</v>
      </c>
    </row>
    <row r="35" spans="1:45" ht="15.75" thickBot="1" x14ac:dyDescent="0.3">
      <c r="A35" t="s">
        <v>62</v>
      </c>
      <c r="I35" t="s">
        <v>33</v>
      </c>
      <c r="K35">
        <v>35.813000000000002</v>
      </c>
      <c r="L35">
        <v>77.125</v>
      </c>
      <c r="Q35" s="4" t="s">
        <v>87</v>
      </c>
      <c r="R35" s="4" t="s">
        <v>88</v>
      </c>
      <c r="S35" s="4"/>
      <c r="T35" s="4"/>
      <c r="U35" s="4"/>
      <c r="Z35" s="12" t="s">
        <v>35</v>
      </c>
      <c r="AA35" s="13">
        <v>77.125</v>
      </c>
      <c r="AB35" s="13">
        <v>7</v>
      </c>
      <c r="AC35" s="13"/>
      <c r="AD35" s="13" t="s">
        <v>35</v>
      </c>
      <c r="AE35" s="13">
        <v>77.125</v>
      </c>
      <c r="AF35" s="13">
        <v>7</v>
      </c>
      <c r="AG35" s="36">
        <v>7</v>
      </c>
      <c r="AH35" s="43">
        <v>7</v>
      </c>
      <c r="AJ35" t="s">
        <v>39</v>
      </c>
      <c r="AK35" s="12" t="s">
        <v>33</v>
      </c>
      <c r="AL35" s="13">
        <v>77.125</v>
      </c>
      <c r="AM35" s="13">
        <v>5</v>
      </c>
      <c r="AN35" s="31">
        <f>AN34-AL35-$AI$7</f>
        <v>109.375</v>
      </c>
      <c r="AO35" s="13" t="s">
        <v>34</v>
      </c>
      <c r="AP35" s="13">
        <v>77.125</v>
      </c>
      <c r="AQ35" s="13">
        <v>6</v>
      </c>
      <c r="AS35" t="s">
        <v>13</v>
      </c>
    </row>
    <row r="36" spans="1:45" x14ac:dyDescent="0.25">
      <c r="A36" t="s">
        <v>63</v>
      </c>
      <c r="H36" s="2"/>
      <c r="I36" t="s">
        <v>33</v>
      </c>
      <c r="J36" t="s">
        <v>25</v>
      </c>
      <c r="M36">
        <v>35.813000000000002</v>
      </c>
      <c r="N36">
        <v>5</v>
      </c>
      <c r="P36" s="2"/>
      <c r="Q36" s="4" t="s">
        <v>33</v>
      </c>
      <c r="R36" s="4">
        <v>35.813000000000002</v>
      </c>
      <c r="S36" s="4">
        <v>5</v>
      </c>
      <c r="T36" s="4"/>
      <c r="U36" s="4"/>
      <c r="AG36" s="35"/>
      <c r="AM36" t="s">
        <v>49</v>
      </c>
      <c r="AN36">
        <f>AN35</f>
        <v>109.375</v>
      </c>
    </row>
    <row r="37" spans="1:45" x14ac:dyDescent="0.25">
      <c r="H37" s="2"/>
      <c r="I37" t="s">
        <v>33</v>
      </c>
      <c r="J37" t="s">
        <v>26</v>
      </c>
      <c r="M37">
        <v>77.125</v>
      </c>
      <c r="N37">
        <v>5</v>
      </c>
      <c r="AG37" s="35"/>
    </row>
    <row r="38" spans="1:45" x14ac:dyDescent="0.25">
      <c r="A38" t="s">
        <v>68</v>
      </c>
      <c r="H38" s="2"/>
      <c r="I38" t="s">
        <v>33</v>
      </c>
      <c r="J38" t="s">
        <v>27</v>
      </c>
      <c r="M38">
        <v>35.813000000000002</v>
      </c>
      <c r="N38">
        <v>5</v>
      </c>
      <c r="Q38" s="4" t="s">
        <v>12</v>
      </c>
      <c r="R38" s="4" t="s">
        <v>86</v>
      </c>
      <c r="S38" s="4"/>
      <c r="T38" s="4"/>
      <c r="U38" s="4"/>
      <c r="AG38" s="35"/>
      <c r="AJ38" t="s">
        <v>95</v>
      </c>
      <c r="AK38" t="s">
        <v>106</v>
      </c>
      <c r="AL38" t="s">
        <v>107</v>
      </c>
      <c r="AN38" s="24">
        <f>AI5-AI6</f>
        <v>187.5</v>
      </c>
    </row>
    <row r="39" spans="1:45" x14ac:dyDescent="0.25">
      <c r="A39" t="s">
        <v>69</v>
      </c>
      <c r="H39" s="2"/>
      <c r="I39" t="s">
        <v>33</v>
      </c>
      <c r="J39" t="s">
        <v>28</v>
      </c>
      <c r="M39">
        <v>77.125</v>
      </c>
      <c r="N39">
        <v>5</v>
      </c>
      <c r="P39" s="2"/>
      <c r="Q39" s="4" t="s">
        <v>35</v>
      </c>
      <c r="R39" s="4">
        <v>77.125</v>
      </c>
      <c r="S39" s="4">
        <v>7</v>
      </c>
      <c r="T39" s="4"/>
      <c r="U39" s="4"/>
      <c r="AJ39" t="s">
        <v>39</v>
      </c>
      <c r="AK39" s="12" t="s">
        <v>33</v>
      </c>
      <c r="AL39" s="13">
        <v>77.125</v>
      </c>
      <c r="AM39" s="13">
        <v>5</v>
      </c>
      <c r="AN39" s="31">
        <f>AN38-AL39-$AI$7</f>
        <v>109.375</v>
      </c>
      <c r="AO39" s="13" t="s">
        <v>34</v>
      </c>
      <c r="AP39" s="13">
        <v>77.125</v>
      </c>
      <c r="AQ39" s="13">
        <v>6</v>
      </c>
      <c r="AS39" t="s">
        <v>83</v>
      </c>
    </row>
    <row r="40" spans="1:45" x14ac:dyDescent="0.25">
      <c r="A40" t="s">
        <v>70</v>
      </c>
      <c r="AM40" t="s">
        <v>49</v>
      </c>
      <c r="AN40">
        <f>AN39</f>
        <v>109.375</v>
      </c>
    </row>
    <row r="41" spans="1:45" x14ac:dyDescent="0.25">
      <c r="A41" t="s">
        <v>71</v>
      </c>
      <c r="I41" t="s">
        <v>34</v>
      </c>
      <c r="K41">
        <v>29.812999999999999</v>
      </c>
      <c r="L41">
        <v>77.125</v>
      </c>
      <c r="Q41" s="4" t="s">
        <v>89</v>
      </c>
      <c r="R41" s="4" t="s">
        <v>90</v>
      </c>
      <c r="S41" s="4"/>
      <c r="T41" s="4"/>
      <c r="U41" s="4"/>
    </row>
    <row r="42" spans="1:45" x14ac:dyDescent="0.25">
      <c r="H42" s="6"/>
      <c r="I42" t="s">
        <v>34</v>
      </c>
      <c r="J42" t="s">
        <v>25</v>
      </c>
      <c r="M42">
        <v>29.812999999999999</v>
      </c>
      <c r="N42">
        <v>6</v>
      </c>
      <c r="P42" s="2"/>
      <c r="Q42" s="4" t="s">
        <v>35</v>
      </c>
      <c r="R42" s="4">
        <v>77.125</v>
      </c>
      <c r="S42" s="4">
        <v>7</v>
      </c>
      <c r="T42" s="4"/>
      <c r="U42" s="4"/>
      <c r="AJ42" t="s">
        <v>95</v>
      </c>
      <c r="AK42" t="s">
        <v>111</v>
      </c>
      <c r="AL42" t="s">
        <v>110</v>
      </c>
      <c r="AN42">
        <f>AI5-AI6</f>
        <v>187.5</v>
      </c>
    </row>
    <row r="43" spans="1:45" x14ac:dyDescent="0.25">
      <c r="A43" t="s">
        <v>62</v>
      </c>
      <c r="H43" s="2"/>
      <c r="I43" t="s">
        <v>34</v>
      </c>
      <c r="J43" t="s">
        <v>26</v>
      </c>
      <c r="M43">
        <v>77.125</v>
      </c>
      <c r="N43">
        <v>6</v>
      </c>
      <c r="AJ43" t="s">
        <v>39</v>
      </c>
      <c r="AK43" s="12" t="s">
        <v>35</v>
      </c>
      <c r="AL43" s="13">
        <v>77.125</v>
      </c>
      <c r="AM43" s="13">
        <v>7</v>
      </c>
      <c r="AN43" s="13">
        <f>AN42-AL43-$AI$7</f>
        <v>109.375</v>
      </c>
      <c r="AO43" s="13" t="s">
        <v>35</v>
      </c>
      <c r="AP43" s="13">
        <v>77.125</v>
      </c>
      <c r="AQ43" s="13">
        <v>7</v>
      </c>
      <c r="AS43" t="s">
        <v>91</v>
      </c>
    </row>
    <row r="44" spans="1:45" x14ac:dyDescent="0.25">
      <c r="A44" t="s">
        <v>63</v>
      </c>
      <c r="H44" s="6"/>
      <c r="I44" t="s">
        <v>34</v>
      </c>
      <c r="J44" t="s">
        <v>27</v>
      </c>
      <c r="M44">
        <v>29.812999999999999</v>
      </c>
      <c r="N44">
        <v>6</v>
      </c>
      <c r="Q44" t="s">
        <v>93</v>
      </c>
      <c r="R44" t="s">
        <v>94</v>
      </c>
    </row>
    <row r="45" spans="1:45" x14ac:dyDescent="0.25">
      <c r="A45" t="s">
        <v>72</v>
      </c>
      <c r="H45" s="2"/>
      <c r="I45" t="s">
        <v>34</v>
      </c>
      <c r="J45" t="s">
        <v>28</v>
      </c>
      <c r="M45">
        <v>77.125</v>
      </c>
      <c r="N45">
        <v>6</v>
      </c>
      <c r="Q45" t="s">
        <v>33</v>
      </c>
      <c r="R45">
        <v>35.813000000000002</v>
      </c>
      <c r="S45">
        <v>5</v>
      </c>
      <c r="U45" t="s">
        <v>33</v>
      </c>
      <c r="V45">
        <v>35.813000000000002</v>
      </c>
      <c r="W45">
        <v>5</v>
      </c>
    </row>
    <row r="47" spans="1:45" x14ac:dyDescent="0.25">
      <c r="I47" t="s">
        <v>35</v>
      </c>
      <c r="K47">
        <v>29.812999999999999</v>
      </c>
      <c r="L47">
        <v>77.125</v>
      </c>
      <c r="Q47" t="s">
        <v>91</v>
      </c>
      <c r="R47" t="s">
        <v>92</v>
      </c>
    </row>
    <row r="48" spans="1:45" x14ac:dyDescent="0.25">
      <c r="H48" s="6"/>
      <c r="I48" t="s">
        <v>35</v>
      </c>
      <c r="J48" t="s">
        <v>25</v>
      </c>
      <c r="M48">
        <v>29.812999999999999</v>
      </c>
      <c r="N48">
        <v>7</v>
      </c>
      <c r="Q48" t="s">
        <v>35</v>
      </c>
      <c r="R48">
        <v>77.125</v>
      </c>
      <c r="S48">
        <v>7</v>
      </c>
      <c r="U48" t="s">
        <v>35</v>
      </c>
      <c r="V48">
        <v>77.125</v>
      </c>
      <c r="W48">
        <v>7</v>
      </c>
    </row>
    <row r="49" spans="1:14" x14ac:dyDescent="0.25">
      <c r="H49" s="2"/>
      <c r="I49" t="s">
        <v>35</v>
      </c>
      <c r="J49" t="s">
        <v>26</v>
      </c>
      <c r="M49">
        <v>77.125</v>
      </c>
      <c r="N49">
        <v>7</v>
      </c>
    </row>
    <row r="50" spans="1:14" x14ac:dyDescent="0.25">
      <c r="A50" t="s">
        <v>101</v>
      </c>
      <c r="H50" s="6"/>
      <c r="I50" t="s">
        <v>35</v>
      </c>
      <c r="J50" t="s">
        <v>27</v>
      </c>
      <c r="M50">
        <v>29.812999999999999</v>
      </c>
      <c r="N50">
        <v>7</v>
      </c>
    </row>
    <row r="51" spans="1:14" x14ac:dyDescent="0.25">
      <c r="A51" t="s">
        <v>102</v>
      </c>
      <c r="H51" s="2"/>
      <c r="I51" t="s">
        <v>35</v>
      </c>
      <c r="J51" t="s">
        <v>28</v>
      </c>
      <c r="M51">
        <v>77.125</v>
      </c>
      <c r="N51">
        <v>7</v>
      </c>
    </row>
    <row r="52" spans="1:14" x14ac:dyDescent="0.25">
      <c r="A52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6ED2-BD89-42AF-9B37-B02AB8389872}">
  <dimension ref="A9:Z44"/>
  <sheetViews>
    <sheetView topLeftCell="A7" workbookViewId="0">
      <selection activeCell="V53" sqref="V53"/>
    </sheetView>
  </sheetViews>
  <sheetFormatPr defaultRowHeight="15" x14ac:dyDescent="0.25"/>
  <cols>
    <col min="1" max="1" width="4" customWidth="1"/>
    <col min="2" max="2" width="10.85546875" customWidth="1"/>
    <col min="6" max="7" width="9.140625" style="33"/>
    <col min="8" max="8" width="17.7109375" customWidth="1"/>
    <col min="9" max="9" width="5.85546875" customWidth="1"/>
    <col min="12" max="12" width="15.140625" customWidth="1"/>
    <col min="16" max="16" width="17.85546875" customWidth="1"/>
    <col min="22" max="22" width="9.140625" customWidth="1"/>
    <col min="23" max="23" width="9.85546875" customWidth="1"/>
  </cols>
  <sheetData>
    <row r="9" spans="1:26" x14ac:dyDescent="0.25">
      <c r="T9" t="s">
        <v>100</v>
      </c>
    </row>
    <row r="10" spans="1:26" x14ac:dyDescent="0.25">
      <c r="O10" t="s">
        <v>47</v>
      </c>
    </row>
    <row r="11" spans="1:26" x14ac:dyDescent="0.25">
      <c r="C11" t="s">
        <v>6</v>
      </c>
      <c r="D11" t="s">
        <v>7</v>
      </c>
      <c r="F11" s="33" t="s">
        <v>132</v>
      </c>
      <c r="G11" s="33" t="s">
        <v>133</v>
      </c>
      <c r="K11" t="s">
        <v>95</v>
      </c>
      <c r="L11" t="s">
        <v>96</v>
      </c>
      <c r="M11" t="s">
        <v>97</v>
      </c>
      <c r="O11">
        <v>187.5</v>
      </c>
    </row>
    <row r="12" spans="1:26" x14ac:dyDescent="0.25">
      <c r="A12">
        <v>1</v>
      </c>
      <c r="B12" t="s">
        <v>29</v>
      </c>
      <c r="C12">
        <v>35.813000000000002</v>
      </c>
      <c r="D12">
        <v>77.125</v>
      </c>
      <c r="E12" t="s">
        <v>131</v>
      </c>
      <c r="F12" s="33" t="s">
        <v>134</v>
      </c>
      <c r="G12" s="33" t="s">
        <v>135</v>
      </c>
      <c r="H12" t="str">
        <f>_xlfn.CONCAT(E12:G12)</f>
        <v>VPAS*0768803556</v>
      </c>
      <c r="I12">
        <v>1</v>
      </c>
      <c r="K12" t="s">
        <v>39</v>
      </c>
      <c r="L12" t="s">
        <v>29</v>
      </c>
      <c r="M12">
        <v>35.813000000000002</v>
      </c>
      <c r="N12">
        <v>1</v>
      </c>
      <c r="O12">
        <v>150.68700000000001</v>
      </c>
      <c r="P12" t="s">
        <v>30</v>
      </c>
      <c r="Q12">
        <v>35.813000000000002</v>
      </c>
      <c r="R12">
        <v>2</v>
      </c>
      <c r="T12" t="s">
        <v>11</v>
      </c>
      <c r="V12" t="s">
        <v>137</v>
      </c>
      <c r="X12" t="s">
        <v>137</v>
      </c>
      <c r="Z12">
        <v>1</v>
      </c>
    </row>
    <row r="13" spans="1:26" x14ac:dyDescent="0.25">
      <c r="A13">
        <v>2</v>
      </c>
      <c r="B13" t="s">
        <v>30</v>
      </c>
      <c r="C13">
        <v>35.813000000000002</v>
      </c>
      <c r="D13">
        <v>77.125</v>
      </c>
      <c r="E13" t="s">
        <v>131</v>
      </c>
      <c r="F13" s="33" t="s">
        <v>134</v>
      </c>
      <c r="G13" s="33" t="s">
        <v>135</v>
      </c>
      <c r="H13" t="str">
        <f t="shared" ref="H13:H18" si="0">_xlfn.CONCAT(E13:G13)</f>
        <v>VPAS*0768803556</v>
      </c>
      <c r="I13">
        <v>2</v>
      </c>
      <c r="K13" t="s">
        <v>39</v>
      </c>
      <c r="L13" t="s">
        <v>29</v>
      </c>
      <c r="M13">
        <v>35.813000000000002</v>
      </c>
      <c r="N13">
        <v>1</v>
      </c>
      <c r="O13">
        <v>113.87400000000001</v>
      </c>
      <c r="P13" t="s">
        <v>30</v>
      </c>
      <c r="Q13">
        <v>35.813000000000002</v>
      </c>
      <c r="R13">
        <v>2</v>
      </c>
      <c r="T13" t="s">
        <v>80</v>
      </c>
      <c r="V13" t="s">
        <v>137</v>
      </c>
      <c r="X13" t="s">
        <v>137</v>
      </c>
      <c r="Z13">
        <v>2</v>
      </c>
    </row>
    <row r="14" spans="1:26" x14ac:dyDescent="0.25">
      <c r="A14">
        <v>3</v>
      </c>
      <c r="B14" t="s">
        <v>31</v>
      </c>
      <c r="C14">
        <v>35.813000000000002</v>
      </c>
      <c r="D14">
        <v>77.125</v>
      </c>
      <c r="E14" t="s">
        <v>131</v>
      </c>
      <c r="F14" s="33" t="s">
        <v>134</v>
      </c>
      <c r="G14" s="33" t="s">
        <v>135</v>
      </c>
      <c r="H14" t="str">
        <f t="shared" si="0"/>
        <v>VPAS*0768803556</v>
      </c>
      <c r="I14">
        <v>3</v>
      </c>
      <c r="K14" t="s">
        <v>39</v>
      </c>
      <c r="L14" t="s">
        <v>31</v>
      </c>
      <c r="M14">
        <v>35.813000000000002</v>
      </c>
      <c r="N14">
        <v>3</v>
      </c>
      <c r="O14">
        <v>77.061000000000007</v>
      </c>
      <c r="P14" t="s">
        <v>32</v>
      </c>
      <c r="Q14">
        <v>35.813000000000002</v>
      </c>
      <c r="R14">
        <v>4</v>
      </c>
      <c r="T14" t="s">
        <v>11</v>
      </c>
      <c r="V14" t="s">
        <v>137</v>
      </c>
      <c r="X14" t="s">
        <v>137</v>
      </c>
      <c r="Z14">
        <v>3</v>
      </c>
    </row>
    <row r="15" spans="1:26" x14ac:dyDescent="0.25">
      <c r="A15">
        <v>4</v>
      </c>
      <c r="B15" t="s">
        <v>32</v>
      </c>
      <c r="C15">
        <v>35.813000000000002</v>
      </c>
      <c r="D15">
        <v>77.125</v>
      </c>
      <c r="E15" t="s">
        <v>131</v>
      </c>
      <c r="F15" s="33" t="s">
        <v>134</v>
      </c>
      <c r="G15" s="33" t="s">
        <v>135</v>
      </c>
      <c r="H15" t="str">
        <f t="shared" si="0"/>
        <v>VPAS*0768803556</v>
      </c>
      <c r="I15">
        <v>4</v>
      </c>
      <c r="K15" t="s">
        <v>39</v>
      </c>
      <c r="L15" t="s">
        <v>31</v>
      </c>
      <c r="M15">
        <v>35.813000000000002</v>
      </c>
      <c r="N15">
        <v>3</v>
      </c>
      <c r="O15">
        <v>40.248000000000005</v>
      </c>
      <c r="P15" t="s">
        <v>32</v>
      </c>
      <c r="Q15">
        <v>35.813000000000002</v>
      </c>
      <c r="R15">
        <v>4</v>
      </c>
      <c r="T15" t="s">
        <v>80</v>
      </c>
      <c r="V15" t="s">
        <v>137</v>
      </c>
      <c r="X15" t="s">
        <v>137</v>
      </c>
      <c r="Z15">
        <v>4</v>
      </c>
    </row>
    <row r="16" spans="1:26" x14ac:dyDescent="0.25">
      <c r="A16">
        <v>5</v>
      </c>
      <c r="B16" t="s">
        <v>33</v>
      </c>
      <c r="C16">
        <v>35.813000000000002</v>
      </c>
      <c r="D16">
        <v>77.125</v>
      </c>
      <c r="E16" t="s">
        <v>131</v>
      </c>
      <c r="F16" s="33" t="s">
        <v>134</v>
      </c>
      <c r="G16" s="33" t="s">
        <v>135</v>
      </c>
      <c r="H16" t="str">
        <f t="shared" si="0"/>
        <v>VPAS*0768803556</v>
      </c>
      <c r="I16">
        <v>5</v>
      </c>
      <c r="K16" t="s">
        <v>39</v>
      </c>
      <c r="L16" t="s">
        <v>34</v>
      </c>
      <c r="M16">
        <v>29.812999999999999</v>
      </c>
      <c r="N16">
        <v>6</v>
      </c>
      <c r="O16">
        <v>9.4350000000000058</v>
      </c>
      <c r="P16" t="s">
        <v>35</v>
      </c>
      <c r="Q16">
        <v>29.812999999999999</v>
      </c>
      <c r="R16">
        <v>7</v>
      </c>
      <c r="T16" t="s">
        <v>11</v>
      </c>
      <c r="V16" t="s">
        <v>138</v>
      </c>
      <c r="X16" t="s">
        <v>138</v>
      </c>
      <c r="Z16">
        <v>5</v>
      </c>
    </row>
    <row r="17" spans="1:26" x14ac:dyDescent="0.25">
      <c r="A17">
        <v>6</v>
      </c>
      <c r="B17" t="s">
        <v>34</v>
      </c>
      <c r="C17">
        <v>29.812999999999999</v>
      </c>
      <c r="D17">
        <v>77.125</v>
      </c>
      <c r="E17" t="s">
        <v>131</v>
      </c>
      <c r="F17" s="33" t="s">
        <v>134</v>
      </c>
      <c r="G17" s="33" t="s">
        <v>136</v>
      </c>
      <c r="H17" t="str">
        <f t="shared" si="0"/>
        <v>VPAS*0768802956</v>
      </c>
      <c r="I17">
        <v>6</v>
      </c>
      <c r="N17" t="s">
        <v>49</v>
      </c>
      <c r="O17">
        <v>9.4350000000000058</v>
      </c>
    </row>
    <row r="18" spans="1:26" x14ac:dyDescent="0.25">
      <c r="A18">
        <v>7</v>
      </c>
      <c r="B18" t="s">
        <v>35</v>
      </c>
      <c r="C18">
        <v>29.812999999999999</v>
      </c>
      <c r="D18">
        <v>77.125</v>
      </c>
      <c r="E18" t="s">
        <v>131</v>
      </c>
      <c r="F18" s="33" t="s">
        <v>134</v>
      </c>
      <c r="G18" s="33" t="s">
        <v>136</v>
      </c>
      <c r="H18" t="str">
        <f t="shared" si="0"/>
        <v>VPAS*0768802956</v>
      </c>
      <c r="I18">
        <v>7</v>
      </c>
    </row>
    <row r="19" spans="1:26" x14ac:dyDescent="0.25">
      <c r="K19" t="s">
        <v>95</v>
      </c>
      <c r="L19" t="s">
        <v>104</v>
      </c>
      <c r="M19" t="s">
        <v>105</v>
      </c>
      <c r="O19">
        <v>187.5</v>
      </c>
    </row>
    <row r="20" spans="1:26" x14ac:dyDescent="0.25">
      <c r="K20" t="s">
        <v>39</v>
      </c>
      <c r="L20" t="s">
        <v>29</v>
      </c>
      <c r="M20">
        <v>77.125</v>
      </c>
      <c r="N20">
        <v>1</v>
      </c>
      <c r="O20">
        <v>109.375</v>
      </c>
      <c r="P20" t="s">
        <v>30</v>
      </c>
      <c r="Q20">
        <v>77.125</v>
      </c>
      <c r="R20">
        <v>2</v>
      </c>
      <c r="T20" t="s">
        <v>13</v>
      </c>
      <c r="V20" t="s">
        <v>137</v>
      </c>
      <c r="X20" t="s">
        <v>137</v>
      </c>
      <c r="Z20">
        <v>6</v>
      </c>
    </row>
    <row r="21" spans="1:26" x14ac:dyDescent="0.25">
      <c r="L21" t="s">
        <v>31</v>
      </c>
      <c r="M21">
        <v>77.125</v>
      </c>
      <c r="N21">
        <v>3</v>
      </c>
      <c r="O21">
        <v>31.25</v>
      </c>
      <c r="P21" t="s">
        <v>32</v>
      </c>
      <c r="Q21">
        <v>77.125</v>
      </c>
      <c r="R21">
        <v>4</v>
      </c>
      <c r="T21" t="s">
        <v>13</v>
      </c>
      <c r="V21" t="s">
        <v>137</v>
      </c>
      <c r="X21" t="s">
        <v>137</v>
      </c>
      <c r="Z21">
        <v>7</v>
      </c>
    </row>
    <row r="22" spans="1:26" x14ac:dyDescent="0.25">
      <c r="N22" t="s">
        <v>49</v>
      </c>
      <c r="O22">
        <v>31.25</v>
      </c>
    </row>
    <row r="24" spans="1:26" x14ac:dyDescent="0.25">
      <c r="K24" t="s">
        <v>95</v>
      </c>
      <c r="L24" t="s">
        <v>106</v>
      </c>
      <c r="M24" t="s">
        <v>107</v>
      </c>
      <c r="O24">
        <v>187.5</v>
      </c>
    </row>
    <row r="25" spans="1:26" x14ac:dyDescent="0.25">
      <c r="K25" t="s">
        <v>39</v>
      </c>
      <c r="L25" t="s">
        <v>29</v>
      </c>
      <c r="M25">
        <v>77.125</v>
      </c>
      <c r="N25">
        <v>1</v>
      </c>
      <c r="O25">
        <v>109.375</v>
      </c>
      <c r="P25" t="s">
        <v>30</v>
      </c>
      <c r="Q25">
        <v>77.125</v>
      </c>
      <c r="R25">
        <v>2</v>
      </c>
      <c r="S25" t="s">
        <v>108</v>
      </c>
      <c r="T25" t="s">
        <v>83</v>
      </c>
      <c r="V25" t="s">
        <v>137</v>
      </c>
      <c r="X25" t="s">
        <v>137</v>
      </c>
      <c r="Z25">
        <v>8</v>
      </c>
    </row>
    <row r="26" spans="1:26" x14ac:dyDescent="0.25">
      <c r="L26" t="s">
        <v>31</v>
      </c>
      <c r="M26">
        <v>77.125</v>
      </c>
      <c r="N26">
        <v>3</v>
      </c>
      <c r="O26">
        <v>31.25</v>
      </c>
      <c r="P26" t="s">
        <v>32</v>
      </c>
      <c r="Q26">
        <v>77.125</v>
      </c>
      <c r="R26">
        <v>4</v>
      </c>
      <c r="S26" t="s">
        <v>109</v>
      </c>
      <c r="T26" t="s">
        <v>83</v>
      </c>
      <c r="V26" t="s">
        <v>137</v>
      </c>
      <c r="X26" t="s">
        <v>137</v>
      </c>
      <c r="Z26">
        <v>9</v>
      </c>
    </row>
    <row r="27" spans="1:26" x14ac:dyDescent="0.25">
      <c r="N27" t="s">
        <v>49</v>
      </c>
      <c r="O27">
        <v>31.25</v>
      </c>
    </row>
    <row r="30" spans="1:26" x14ac:dyDescent="0.25">
      <c r="K30" t="s">
        <v>95</v>
      </c>
      <c r="L30" t="s">
        <v>96</v>
      </c>
      <c r="M30" t="s">
        <v>97</v>
      </c>
      <c r="O30">
        <v>187.5</v>
      </c>
    </row>
    <row r="31" spans="1:26" x14ac:dyDescent="0.25">
      <c r="K31" t="s">
        <v>39</v>
      </c>
      <c r="L31" t="s">
        <v>34</v>
      </c>
      <c r="M31">
        <v>29.812999999999999</v>
      </c>
      <c r="N31">
        <v>6</v>
      </c>
      <c r="O31">
        <v>156.68700000000001</v>
      </c>
      <c r="P31" t="s">
        <v>35</v>
      </c>
      <c r="Q31">
        <v>29.812999999999999</v>
      </c>
      <c r="R31">
        <v>7</v>
      </c>
      <c r="T31" t="s">
        <v>80</v>
      </c>
      <c r="V31" t="s">
        <v>138</v>
      </c>
      <c r="X31" t="s">
        <v>138</v>
      </c>
      <c r="Z31">
        <v>10</v>
      </c>
    </row>
    <row r="32" spans="1:26" x14ac:dyDescent="0.25">
      <c r="L32" t="s">
        <v>33</v>
      </c>
      <c r="M32">
        <v>35.813000000000002</v>
      </c>
      <c r="N32">
        <v>5</v>
      </c>
      <c r="O32">
        <v>119.87400000000001</v>
      </c>
      <c r="P32" t="s">
        <v>33</v>
      </c>
      <c r="Q32">
        <v>35.813000000000002</v>
      </c>
      <c r="R32">
        <v>5</v>
      </c>
      <c r="T32" t="s">
        <v>93</v>
      </c>
      <c r="V32" t="s">
        <v>137</v>
      </c>
      <c r="X32" t="s">
        <v>137</v>
      </c>
      <c r="Z32">
        <v>11</v>
      </c>
    </row>
    <row r="33" spans="11:26" x14ac:dyDescent="0.25">
      <c r="N33" t="s">
        <v>49</v>
      </c>
      <c r="O33">
        <v>119.87400000000001</v>
      </c>
    </row>
    <row r="35" spans="11:26" x14ac:dyDescent="0.25">
      <c r="K35" t="s">
        <v>95</v>
      </c>
      <c r="L35" t="s">
        <v>104</v>
      </c>
      <c r="M35" t="s">
        <v>105</v>
      </c>
      <c r="O35">
        <v>187.5</v>
      </c>
    </row>
    <row r="36" spans="11:26" x14ac:dyDescent="0.25">
      <c r="K36" t="s">
        <v>39</v>
      </c>
      <c r="L36" t="s">
        <v>33</v>
      </c>
      <c r="M36">
        <v>77.125</v>
      </c>
      <c r="N36">
        <v>5</v>
      </c>
      <c r="O36">
        <v>109.375</v>
      </c>
      <c r="P36" t="s">
        <v>34</v>
      </c>
      <c r="Q36">
        <v>77.125</v>
      </c>
      <c r="R36">
        <v>6</v>
      </c>
      <c r="T36" t="s">
        <v>13</v>
      </c>
      <c r="V36" t="s">
        <v>137</v>
      </c>
      <c r="X36" t="s">
        <v>138</v>
      </c>
      <c r="Z36">
        <v>12</v>
      </c>
    </row>
    <row r="37" spans="11:26" x14ac:dyDescent="0.25">
      <c r="N37" t="s">
        <v>49</v>
      </c>
      <c r="O37">
        <v>109.375</v>
      </c>
    </row>
    <row r="39" spans="11:26" x14ac:dyDescent="0.25">
      <c r="K39" t="s">
        <v>95</v>
      </c>
      <c r="L39" t="s">
        <v>106</v>
      </c>
      <c r="M39" t="s">
        <v>107</v>
      </c>
      <c r="O39">
        <v>187.5</v>
      </c>
    </row>
    <row r="40" spans="11:26" x14ac:dyDescent="0.25">
      <c r="K40" t="s">
        <v>39</v>
      </c>
      <c r="L40" t="s">
        <v>33</v>
      </c>
      <c r="M40">
        <v>77.125</v>
      </c>
      <c r="N40">
        <v>5</v>
      </c>
      <c r="O40">
        <v>109.375</v>
      </c>
      <c r="P40" t="s">
        <v>34</v>
      </c>
      <c r="Q40">
        <v>77.125</v>
      </c>
      <c r="R40">
        <v>6</v>
      </c>
      <c r="T40" t="s">
        <v>83</v>
      </c>
      <c r="V40" t="s">
        <v>137</v>
      </c>
      <c r="X40" t="s">
        <v>138</v>
      </c>
      <c r="Z40">
        <v>13</v>
      </c>
    </row>
    <row r="41" spans="11:26" x14ac:dyDescent="0.25">
      <c r="N41" t="s">
        <v>49</v>
      </c>
      <c r="O41">
        <v>109.375</v>
      </c>
    </row>
    <row r="43" spans="11:26" x14ac:dyDescent="0.25">
      <c r="K43" t="s">
        <v>95</v>
      </c>
      <c r="L43" t="s">
        <v>111</v>
      </c>
      <c r="M43" t="s">
        <v>110</v>
      </c>
      <c r="O43">
        <v>187.5</v>
      </c>
    </row>
    <row r="44" spans="11:26" x14ac:dyDescent="0.25">
      <c r="K44" t="s">
        <v>39</v>
      </c>
      <c r="L44" t="s">
        <v>35</v>
      </c>
      <c r="M44">
        <v>77.125</v>
      </c>
      <c r="N44">
        <v>7</v>
      </c>
      <c r="O44">
        <v>109.375</v>
      </c>
      <c r="P44" t="s">
        <v>35</v>
      </c>
      <c r="Q44">
        <v>77.125</v>
      </c>
      <c r="R44">
        <v>7</v>
      </c>
      <c r="T44" t="s">
        <v>91</v>
      </c>
      <c r="V44" t="s">
        <v>138</v>
      </c>
      <c r="X44" t="s">
        <v>138</v>
      </c>
      <c r="Z44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075A-0E41-47F1-A2C7-4859CF544330}">
  <dimension ref="K15"/>
  <sheetViews>
    <sheetView workbookViewId="0">
      <selection activeCell="K15" sqref="K15"/>
    </sheetView>
  </sheetViews>
  <sheetFormatPr defaultRowHeight="15" x14ac:dyDescent="0.25"/>
  <sheetData>
    <row r="15" spans="11:11" x14ac:dyDescent="0.25">
      <c r="K15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9ECB-7CB3-44E9-803B-C4725BFE4C89}">
  <dimension ref="C6:BX52"/>
  <sheetViews>
    <sheetView tabSelected="1" topLeftCell="AK13" zoomScale="80" zoomScaleNormal="80" workbookViewId="0">
      <selection activeCell="AY45" sqref="AY45"/>
    </sheetView>
  </sheetViews>
  <sheetFormatPr defaultRowHeight="15" x14ac:dyDescent="0.25"/>
  <cols>
    <col min="3" max="3" width="12.28515625" bestFit="1" customWidth="1"/>
    <col min="10" max="10" width="12.28515625" bestFit="1" customWidth="1"/>
    <col min="11" max="11" width="17.7109375" bestFit="1" customWidth="1"/>
    <col min="45" max="45" width="15.7109375" customWidth="1"/>
    <col min="46" max="46" width="5.42578125" customWidth="1"/>
    <col min="47" max="47" width="3.42578125" customWidth="1"/>
    <col min="48" max="48" width="16.7109375" bestFit="1" customWidth="1"/>
    <col min="49" max="49" width="12.28515625" bestFit="1" customWidth="1"/>
    <col min="58" max="58" width="12.28515625" bestFit="1" customWidth="1"/>
    <col min="59" max="59" width="9.140625" customWidth="1"/>
    <col min="60" max="60" width="5.140625" customWidth="1"/>
    <col min="61" max="61" width="12.28515625" bestFit="1" customWidth="1"/>
    <col min="62" max="62" width="9.28515625" bestFit="1" customWidth="1"/>
    <col min="63" max="63" width="10.140625" bestFit="1" customWidth="1"/>
    <col min="64" max="64" width="16.7109375" bestFit="1" customWidth="1"/>
    <col min="68" max="68" width="18.42578125" bestFit="1" customWidth="1"/>
  </cols>
  <sheetData>
    <row r="6" spans="3:28" x14ac:dyDescent="0.25">
      <c r="C6" s="24" t="s">
        <v>112</v>
      </c>
      <c r="D6" s="24" t="s">
        <v>6</v>
      </c>
      <c r="E6" s="24" t="s">
        <v>7</v>
      </c>
      <c r="F6" s="24" t="s">
        <v>42</v>
      </c>
    </row>
    <row r="7" spans="3:28" x14ac:dyDescent="0.25">
      <c r="C7" t="s">
        <v>29</v>
      </c>
      <c r="D7">
        <v>35.813000000000002</v>
      </c>
      <c r="E7">
        <v>77.125</v>
      </c>
      <c r="F7">
        <v>1</v>
      </c>
      <c r="J7" s="24" t="s">
        <v>112</v>
      </c>
      <c r="K7" s="24" t="s">
        <v>113</v>
      </c>
      <c r="L7" s="24" t="s">
        <v>47</v>
      </c>
      <c r="M7" s="24" t="s">
        <v>42</v>
      </c>
      <c r="P7" s="24" t="s">
        <v>116</v>
      </c>
    </row>
    <row r="8" spans="3:28" x14ac:dyDescent="0.25">
      <c r="C8" t="s">
        <v>30</v>
      </c>
      <c r="D8">
        <v>35.813000000000002</v>
      </c>
      <c r="E8">
        <v>77.125</v>
      </c>
      <c r="F8">
        <v>2</v>
      </c>
      <c r="J8" t="s">
        <v>29</v>
      </c>
      <c r="K8" t="s">
        <v>25</v>
      </c>
      <c r="L8">
        <v>35.813000000000002</v>
      </c>
      <c r="M8">
        <v>1</v>
      </c>
      <c r="P8" t="s">
        <v>25</v>
      </c>
      <c r="U8" t="s">
        <v>11</v>
      </c>
      <c r="V8" t="s">
        <v>79</v>
      </c>
    </row>
    <row r="9" spans="3:28" x14ac:dyDescent="0.25">
      <c r="C9" t="s">
        <v>31</v>
      </c>
      <c r="D9">
        <v>35.813000000000002</v>
      </c>
      <c r="E9">
        <v>77.125</v>
      </c>
      <c r="F9">
        <v>3</v>
      </c>
      <c r="J9" t="s">
        <v>29</v>
      </c>
      <c r="K9" t="s">
        <v>26</v>
      </c>
      <c r="L9">
        <v>77.125</v>
      </c>
      <c r="M9">
        <v>1</v>
      </c>
      <c r="P9" t="s">
        <v>26</v>
      </c>
      <c r="U9" t="s">
        <v>112</v>
      </c>
      <c r="V9" t="s">
        <v>47</v>
      </c>
      <c r="W9" t="s">
        <v>42</v>
      </c>
      <c r="Y9" t="s">
        <v>112</v>
      </c>
      <c r="Z9" t="s">
        <v>47</v>
      </c>
      <c r="AA9" t="s">
        <v>42</v>
      </c>
    </row>
    <row r="10" spans="3:28" x14ac:dyDescent="0.25">
      <c r="C10" t="s">
        <v>32</v>
      </c>
      <c r="D10">
        <v>35.813000000000002</v>
      </c>
      <c r="E10">
        <v>77.125</v>
      </c>
      <c r="F10">
        <v>4</v>
      </c>
      <c r="J10" t="s">
        <v>29</v>
      </c>
      <c r="K10" t="s">
        <v>27</v>
      </c>
      <c r="L10">
        <v>35.813000000000002</v>
      </c>
      <c r="M10">
        <v>1</v>
      </c>
      <c r="P10" t="s">
        <v>27</v>
      </c>
      <c r="U10" t="s">
        <v>29</v>
      </c>
      <c r="V10">
        <v>35.813000000000002</v>
      </c>
      <c r="W10">
        <v>1</v>
      </c>
      <c r="X10" t="s">
        <v>117</v>
      </c>
      <c r="Y10" t="s">
        <v>30</v>
      </c>
      <c r="Z10">
        <v>35.813000000000002</v>
      </c>
      <c r="AA10">
        <v>2</v>
      </c>
    </row>
    <row r="11" spans="3:28" x14ac:dyDescent="0.25">
      <c r="C11" t="s">
        <v>33</v>
      </c>
      <c r="D11">
        <v>35.813000000000002</v>
      </c>
      <c r="E11">
        <v>77.125</v>
      </c>
      <c r="F11">
        <v>5</v>
      </c>
      <c r="J11" t="s">
        <v>29</v>
      </c>
      <c r="K11" t="s">
        <v>28</v>
      </c>
      <c r="L11">
        <v>77.125</v>
      </c>
      <c r="M11">
        <v>1</v>
      </c>
      <c r="P11" t="s">
        <v>28</v>
      </c>
      <c r="U11" t="s">
        <v>31</v>
      </c>
      <c r="V11">
        <v>35.813000000000002</v>
      </c>
      <c r="W11">
        <v>3</v>
      </c>
      <c r="X11" t="s">
        <v>117</v>
      </c>
      <c r="Y11" t="s">
        <v>32</v>
      </c>
      <c r="Z11">
        <v>35.813000000000002</v>
      </c>
      <c r="AA11">
        <v>4</v>
      </c>
    </row>
    <row r="12" spans="3:28" x14ac:dyDescent="0.25">
      <c r="C12" t="s">
        <v>34</v>
      </c>
      <c r="D12">
        <v>29.812999999999999</v>
      </c>
      <c r="E12">
        <v>77.125</v>
      </c>
      <c r="F12">
        <v>6</v>
      </c>
      <c r="P12" t="s">
        <v>114</v>
      </c>
      <c r="U12" t="s">
        <v>34</v>
      </c>
      <c r="V12">
        <v>29.812999999999999</v>
      </c>
      <c r="W12">
        <v>6</v>
      </c>
      <c r="X12" t="s">
        <v>117</v>
      </c>
      <c r="Y12" t="s">
        <v>35</v>
      </c>
      <c r="Z12">
        <v>29.812999999999999</v>
      </c>
      <c r="AA12">
        <v>7</v>
      </c>
      <c r="AB12">
        <v>1</v>
      </c>
    </row>
    <row r="13" spans="3:28" x14ac:dyDescent="0.25">
      <c r="C13" t="s">
        <v>35</v>
      </c>
      <c r="D13">
        <v>29.812999999999999</v>
      </c>
      <c r="E13">
        <v>77.125</v>
      </c>
      <c r="F13">
        <v>7</v>
      </c>
      <c r="J13" t="s">
        <v>30</v>
      </c>
      <c r="K13" t="s">
        <v>25</v>
      </c>
      <c r="L13">
        <v>35.813000000000002</v>
      </c>
      <c r="M13">
        <v>2</v>
      </c>
      <c r="P13" t="s">
        <v>115</v>
      </c>
    </row>
    <row r="14" spans="3:28" x14ac:dyDescent="0.25">
      <c r="J14" t="s">
        <v>30</v>
      </c>
      <c r="K14" t="s">
        <v>26</v>
      </c>
      <c r="L14">
        <v>77.125</v>
      </c>
      <c r="M14">
        <v>2</v>
      </c>
      <c r="U14" t="s">
        <v>80</v>
      </c>
      <c r="V14" t="s">
        <v>81</v>
      </c>
    </row>
    <row r="15" spans="3:28" x14ac:dyDescent="0.25">
      <c r="J15" t="s">
        <v>30</v>
      </c>
      <c r="K15" t="s">
        <v>27</v>
      </c>
      <c r="L15">
        <v>35.813000000000002</v>
      </c>
      <c r="M15">
        <v>2</v>
      </c>
      <c r="U15" t="s">
        <v>112</v>
      </c>
      <c r="V15" t="s">
        <v>47</v>
      </c>
      <c r="W15" t="s">
        <v>42</v>
      </c>
      <c r="Y15" t="s">
        <v>112</v>
      </c>
      <c r="Z15" t="s">
        <v>47</v>
      </c>
      <c r="AA15" t="s">
        <v>42</v>
      </c>
    </row>
    <row r="16" spans="3:28" x14ac:dyDescent="0.25">
      <c r="J16" t="s">
        <v>30</v>
      </c>
      <c r="K16" t="s">
        <v>28</v>
      </c>
      <c r="L16">
        <v>77.125</v>
      </c>
      <c r="M16">
        <v>2</v>
      </c>
      <c r="U16" t="s">
        <v>29</v>
      </c>
      <c r="V16">
        <v>35.813000000000002</v>
      </c>
      <c r="W16">
        <v>1</v>
      </c>
      <c r="X16" t="s">
        <v>117</v>
      </c>
      <c r="Y16" t="s">
        <v>30</v>
      </c>
      <c r="Z16">
        <v>35.813000000000002</v>
      </c>
      <c r="AA16">
        <v>2</v>
      </c>
    </row>
    <row r="17" spans="10:76" x14ac:dyDescent="0.25">
      <c r="U17" t="s">
        <v>31</v>
      </c>
      <c r="V17">
        <v>35.813000000000002</v>
      </c>
      <c r="W17">
        <v>3</v>
      </c>
      <c r="X17" t="s">
        <v>117</v>
      </c>
      <c r="Y17" t="s">
        <v>32</v>
      </c>
      <c r="Z17">
        <v>35.813000000000002</v>
      </c>
      <c r="AA17">
        <v>4</v>
      </c>
    </row>
    <row r="18" spans="10:76" x14ac:dyDescent="0.25">
      <c r="J18" t="s">
        <v>31</v>
      </c>
      <c r="K18" t="s">
        <v>25</v>
      </c>
      <c r="L18">
        <v>35.813000000000002</v>
      </c>
      <c r="M18">
        <v>3</v>
      </c>
      <c r="U18" t="s">
        <v>34</v>
      </c>
      <c r="V18">
        <v>29.812999999999999</v>
      </c>
      <c r="W18">
        <v>6</v>
      </c>
      <c r="X18" t="s">
        <v>117</v>
      </c>
      <c r="Y18" t="s">
        <v>35</v>
      </c>
      <c r="Z18">
        <v>29.812999999999999</v>
      </c>
      <c r="AA18">
        <v>7</v>
      </c>
      <c r="AB18">
        <v>1</v>
      </c>
    </row>
    <row r="19" spans="10:76" x14ac:dyDescent="0.25">
      <c r="J19" t="s">
        <v>31</v>
      </c>
      <c r="K19" t="s">
        <v>26</v>
      </c>
      <c r="L19">
        <v>77.125</v>
      </c>
      <c r="M19">
        <v>3</v>
      </c>
    </row>
    <row r="20" spans="10:76" x14ac:dyDescent="0.25">
      <c r="J20" t="s">
        <v>31</v>
      </c>
      <c r="K20" t="s">
        <v>27</v>
      </c>
      <c r="L20">
        <v>35.813000000000002</v>
      </c>
      <c r="M20">
        <v>3</v>
      </c>
      <c r="U20" t="s">
        <v>13</v>
      </c>
      <c r="V20" t="s">
        <v>82</v>
      </c>
    </row>
    <row r="21" spans="10:76" x14ac:dyDescent="0.25">
      <c r="J21" t="s">
        <v>31</v>
      </c>
      <c r="K21" t="s">
        <v>28</v>
      </c>
      <c r="L21">
        <v>77.125</v>
      </c>
      <c r="M21">
        <v>3</v>
      </c>
      <c r="U21" t="s">
        <v>112</v>
      </c>
      <c r="V21" t="s">
        <v>47</v>
      </c>
      <c r="W21" t="s">
        <v>42</v>
      </c>
      <c r="Y21" t="s">
        <v>112</v>
      </c>
      <c r="Z21" t="s">
        <v>47</v>
      </c>
      <c r="AA21" t="s">
        <v>42</v>
      </c>
    </row>
    <row r="22" spans="10:76" x14ac:dyDescent="0.25">
      <c r="U22" t="s">
        <v>29</v>
      </c>
      <c r="V22">
        <v>77.125</v>
      </c>
      <c r="W22">
        <v>1</v>
      </c>
      <c r="X22" t="s">
        <v>117</v>
      </c>
      <c r="Y22" t="s">
        <v>30</v>
      </c>
      <c r="Z22">
        <v>77.125</v>
      </c>
      <c r="AA22">
        <v>2</v>
      </c>
    </row>
    <row r="23" spans="10:76" x14ac:dyDescent="0.25">
      <c r="J23" t="s">
        <v>32</v>
      </c>
      <c r="K23" t="s">
        <v>25</v>
      </c>
      <c r="L23">
        <v>35.813000000000002</v>
      </c>
      <c r="M23">
        <v>4</v>
      </c>
      <c r="U23" t="s">
        <v>31</v>
      </c>
      <c r="V23">
        <v>77.125</v>
      </c>
      <c r="W23">
        <v>3</v>
      </c>
      <c r="X23" t="s">
        <v>117</v>
      </c>
      <c r="Y23" t="s">
        <v>32</v>
      </c>
      <c r="Z23">
        <v>77.125</v>
      </c>
      <c r="AA23">
        <v>4</v>
      </c>
    </row>
    <row r="24" spans="10:76" x14ac:dyDescent="0.25">
      <c r="J24" t="s">
        <v>32</v>
      </c>
      <c r="K24" t="s">
        <v>26</v>
      </c>
      <c r="L24">
        <v>77.125</v>
      </c>
      <c r="M24">
        <v>4</v>
      </c>
      <c r="U24" t="s">
        <v>33</v>
      </c>
      <c r="V24">
        <v>77.125</v>
      </c>
      <c r="W24">
        <v>5</v>
      </c>
      <c r="X24" t="s">
        <v>117</v>
      </c>
      <c r="Y24" t="s">
        <v>34</v>
      </c>
      <c r="Z24">
        <v>77.125</v>
      </c>
      <c r="AA24">
        <v>6</v>
      </c>
      <c r="AB24">
        <v>1</v>
      </c>
    </row>
    <row r="25" spans="10:76" x14ac:dyDescent="0.25">
      <c r="J25" t="s">
        <v>32</v>
      </c>
      <c r="K25" t="s">
        <v>27</v>
      </c>
      <c r="L25">
        <v>35.813000000000002</v>
      </c>
      <c r="M25">
        <v>4</v>
      </c>
    </row>
    <row r="26" spans="10:76" x14ac:dyDescent="0.25">
      <c r="J26" t="s">
        <v>32</v>
      </c>
      <c r="K26" t="s">
        <v>28</v>
      </c>
      <c r="L26">
        <v>77.125</v>
      </c>
      <c r="M26">
        <v>4</v>
      </c>
      <c r="U26" t="s">
        <v>83</v>
      </c>
      <c r="V26" t="s">
        <v>84</v>
      </c>
      <c r="AO26" t="s">
        <v>44</v>
      </c>
      <c r="AP26">
        <v>192</v>
      </c>
      <c r="BO26" t="s">
        <v>95</v>
      </c>
      <c r="BP26" t="s">
        <v>104</v>
      </c>
      <c r="BQ26" t="s">
        <v>105</v>
      </c>
      <c r="BS26">
        <v>187.5</v>
      </c>
    </row>
    <row r="27" spans="10:76" x14ac:dyDescent="0.25">
      <c r="U27" t="s">
        <v>112</v>
      </c>
      <c r="V27" t="s">
        <v>47</v>
      </c>
      <c r="W27" t="s">
        <v>42</v>
      </c>
      <c r="Y27" t="s">
        <v>112</v>
      </c>
      <c r="Z27" t="s">
        <v>47</v>
      </c>
      <c r="AA27" t="s">
        <v>42</v>
      </c>
      <c r="AO27" t="s">
        <v>98</v>
      </c>
      <c r="AP27">
        <v>4.5</v>
      </c>
      <c r="BO27" t="s">
        <v>39</v>
      </c>
      <c r="BP27" t="s">
        <v>29</v>
      </c>
      <c r="BQ27">
        <v>77.125</v>
      </c>
      <c r="BR27">
        <v>1</v>
      </c>
      <c r="BS27">
        <v>109.375</v>
      </c>
      <c r="BT27" t="s">
        <v>30</v>
      </c>
      <c r="BU27">
        <v>77.125</v>
      </c>
      <c r="BV27">
        <v>2</v>
      </c>
      <c r="BX27" t="s">
        <v>13</v>
      </c>
    </row>
    <row r="28" spans="10:76" x14ac:dyDescent="0.25">
      <c r="J28" t="s">
        <v>33</v>
      </c>
      <c r="K28" t="s">
        <v>25</v>
      </c>
      <c r="L28">
        <v>35.813000000000002</v>
      </c>
      <c r="M28">
        <v>5</v>
      </c>
      <c r="U28" t="s">
        <v>29</v>
      </c>
      <c r="V28">
        <v>77.125</v>
      </c>
      <c r="W28">
        <v>1</v>
      </c>
      <c r="X28" t="s">
        <v>117</v>
      </c>
      <c r="Y28" t="s">
        <v>30</v>
      </c>
      <c r="Z28">
        <v>77.125</v>
      </c>
      <c r="AA28">
        <v>2</v>
      </c>
      <c r="AO28" t="s">
        <v>99</v>
      </c>
      <c r="AP28">
        <v>1</v>
      </c>
      <c r="BP28" t="s">
        <v>31</v>
      </c>
      <c r="BQ28">
        <v>77.125</v>
      </c>
      <c r="BR28">
        <v>3</v>
      </c>
      <c r="BS28">
        <v>31.25</v>
      </c>
      <c r="BT28" t="s">
        <v>32</v>
      </c>
      <c r="BU28">
        <v>77.125</v>
      </c>
      <c r="BV28">
        <v>4</v>
      </c>
      <c r="BX28" t="s">
        <v>13</v>
      </c>
    </row>
    <row r="29" spans="10:76" x14ac:dyDescent="0.25">
      <c r="J29" t="s">
        <v>33</v>
      </c>
      <c r="K29" t="s">
        <v>26</v>
      </c>
      <c r="L29">
        <v>77.125</v>
      </c>
      <c r="M29">
        <v>5</v>
      </c>
      <c r="U29" t="s">
        <v>31</v>
      </c>
      <c r="V29">
        <v>77.125</v>
      </c>
      <c r="W29">
        <v>3</v>
      </c>
      <c r="X29" t="s">
        <v>117</v>
      </c>
      <c r="Y29" t="s">
        <v>32</v>
      </c>
      <c r="Z29">
        <v>77.125</v>
      </c>
      <c r="AA29">
        <v>4</v>
      </c>
      <c r="BR29" t="s">
        <v>49</v>
      </c>
      <c r="BS29">
        <v>31.25</v>
      </c>
    </row>
    <row r="30" spans="10:76" x14ac:dyDescent="0.25">
      <c r="J30" t="s">
        <v>33</v>
      </c>
      <c r="K30" t="s">
        <v>27</v>
      </c>
      <c r="L30">
        <v>35.813000000000002</v>
      </c>
      <c r="M30">
        <v>5</v>
      </c>
      <c r="U30" t="s">
        <v>33</v>
      </c>
      <c r="V30">
        <v>77.125</v>
      </c>
      <c r="W30">
        <v>5</v>
      </c>
      <c r="X30" t="s">
        <v>117</v>
      </c>
      <c r="Y30" t="s">
        <v>34</v>
      </c>
      <c r="Z30">
        <v>77.125</v>
      </c>
      <c r="AA30">
        <v>6</v>
      </c>
      <c r="AB30">
        <v>1</v>
      </c>
      <c r="AQ30" t="s">
        <v>100</v>
      </c>
      <c r="AT30" t="s">
        <v>120</v>
      </c>
      <c r="AV30" t="s">
        <v>48</v>
      </c>
    </row>
    <row r="31" spans="10:76" x14ac:dyDescent="0.25">
      <c r="J31" t="s">
        <v>33</v>
      </c>
      <c r="K31" t="s">
        <v>28</v>
      </c>
      <c r="L31">
        <v>77.125</v>
      </c>
      <c r="M31">
        <v>5</v>
      </c>
      <c r="AR31" s="32" t="s">
        <v>118</v>
      </c>
      <c r="AS31" s="7" t="s">
        <v>96</v>
      </c>
      <c r="AT31" t="s">
        <v>97</v>
      </c>
      <c r="AV31" s="24">
        <f>AP26-AP27</f>
        <v>187.5</v>
      </c>
    </row>
    <row r="32" spans="10:76" x14ac:dyDescent="0.25">
      <c r="U32" s="4" t="s">
        <v>10</v>
      </c>
      <c r="V32" s="4" t="s">
        <v>85</v>
      </c>
      <c r="W32" s="4"/>
      <c r="AQ32" t="s">
        <v>11</v>
      </c>
      <c r="AR32" s="32" t="s">
        <v>119</v>
      </c>
      <c r="AS32" s="10" t="s">
        <v>29</v>
      </c>
      <c r="AT32">
        <v>35.813000000000002</v>
      </c>
      <c r="AU32">
        <v>1</v>
      </c>
      <c r="AV32" s="24">
        <f>AV31-AT32-$AI$7</f>
        <v>151.68700000000001</v>
      </c>
      <c r="AW32" t="s">
        <v>30</v>
      </c>
      <c r="AX32">
        <v>35.813000000000002</v>
      </c>
      <c r="AY32" s="11">
        <v>2</v>
      </c>
    </row>
    <row r="33" spans="10:64" x14ac:dyDescent="0.25">
      <c r="J33" t="s">
        <v>34</v>
      </c>
      <c r="K33" t="s">
        <v>25</v>
      </c>
      <c r="L33">
        <v>29.812999999999999</v>
      </c>
      <c r="M33">
        <v>6</v>
      </c>
      <c r="U33" t="s">
        <v>112</v>
      </c>
      <c r="V33" t="s">
        <v>47</v>
      </c>
      <c r="W33" t="s">
        <v>42</v>
      </c>
      <c r="AQ33" s="7" t="s">
        <v>80</v>
      </c>
      <c r="AR33" s="32" t="s">
        <v>119</v>
      </c>
      <c r="AS33" s="10" t="s">
        <v>29</v>
      </c>
      <c r="AT33">
        <v>35.813000000000002</v>
      </c>
      <c r="AU33">
        <v>1</v>
      </c>
      <c r="AV33" s="24">
        <f>AV32-AT33-$AI$7</f>
        <v>115.87400000000001</v>
      </c>
      <c r="AW33" t="s">
        <v>30</v>
      </c>
      <c r="AX33">
        <v>35.813000000000002</v>
      </c>
      <c r="AY33" s="11">
        <v>2</v>
      </c>
    </row>
    <row r="34" spans="10:64" x14ac:dyDescent="0.25">
      <c r="J34" t="s">
        <v>34</v>
      </c>
      <c r="K34" t="s">
        <v>26</v>
      </c>
      <c r="L34">
        <v>77.125</v>
      </c>
      <c r="M34">
        <v>6</v>
      </c>
      <c r="U34" s="4" t="s">
        <v>33</v>
      </c>
      <c r="V34" s="4">
        <v>35.813000000000002</v>
      </c>
      <c r="W34" s="4">
        <v>5</v>
      </c>
      <c r="AQ34" t="s">
        <v>11</v>
      </c>
      <c r="AR34" s="32" t="s">
        <v>119</v>
      </c>
      <c r="AS34" s="10" t="s">
        <v>31</v>
      </c>
      <c r="AT34">
        <v>35.813000000000002</v>
      </c>
      <c r="AU34">
        <v>3</v>
      </c>
      <c r="AV34" s="24">
        <f>AV33-AT34-$AI$7</f>
        <v>80.061000000000007</v>
      </c>
      <c r="AW34" t="s">
        <v>32</v>
      </c>
      <c r="AX34">
        <v>35.813000000000002</v>
      </c>
      <c r="AY34" s="11">
        <v>4</v>
      </c>
    </row>
    <row r="35" spans="10:64" x14ac:dyDescent="0.25">
      <c r="J35" t="s">
        <v>34</v>
      </c>
      <c r="K35" t="s">
        <v>27</v>
      </c>
      <c r="L35">
        <v>29.812999999999999</v>
      </c>
      <c r="M35">
        <v>6</v>
      </c>
      <c r="AC35" t="s">
        <v>93</v>
      </c>
      <c r="AD35" t="s">
        <v>94</v>
      </c>
      <c r="AQ35" t="s">
        <v>80</v>
      </c>
      <c r="AR35" s="32" t="s">
        <v>119</v>
      </c>
      <c r="AS35" s="10" t="s">
        <v>31</v>
      </c>
      <c r="AT35">
        <v>35.813000000000002</v>
      </c>
      <c r="AU35">
        <v>3</v>
      </c>
      <c r="AV35" s="24">
        <f>AV34-AT35-$AI$7</f>
        <v>44.248000000000005</v>
      </c>
      <c r="AW35" t="s">
        <v>32</v>
      </c>
      <c r="AX35">
        <v>35.813000000000002</v>
      </c>
      <c r="AY35" s="11">
        <v>4</v>
      </c>
    </row>
    <row r="36" spans="10:64" x14ac:dyDescent="0.25">
      <c r="J36" t="s">
        <v>34</v>
      </c>
      <c r="K36" t="s">
        <v>28</v>
      </c>
      <c r="L36">
        <v>77.125</v>
      </c>
      <c r="M36">
        <v>6</v>
      </c>
      <c r="U36" s="4" t="s">
        <v>87</v>
      </c>
      <c r="V36" s="4" t="s">
        <v>88</v>
      </c>
      <c r="W36" s="4"/>
      <c r="X36" s="4"/>
      <c r="Y36" s="4"/>
      <c r="AC36" t="s">
        <v>112</v>
      </c>
      <c r="AD36" t="s">
        <v>47</v>
      </c>
      <c r="AE36" t="s">
        <v>42</v>
      </c>
      <c r="AG36" t="s">
        <v>112</v>
      </c>
      <c r="AH36" t="s">
        <v>47</v>
      </c>
      <c r="AI36" t="s">
        <v>42</v>
      </c>
      <c r="AQ36" t="s">
        <v>11</v>
      </c>
      <c r="AR36" s="32" t="s">
        <v>119</v>
      </c>
      <c r="AS36" s="12" t="s">
        <v>34</v>
      </c>
      <c r="AT36" s="13">
        <v>29.812999999999999</v>
      </c>
      <c r="AU36" s="13">
        <v>6</v>
      </c>
      <c r="AV36" s="24">
        <f>AV35-AT36-$AI$7</f>
        <v>14.435000000000006</v>
      </c>
      <c r="AW36" s="13" t="s">
        <v>35</v>
      </c>
      <c r="AX36" s="13">
        <v>29.812999999999999</v>
      </c>
      <c r="AY36" s="13">
        <v>7</v>
      </c>
    </row>
    <row r="37" spans="10:64" x14ac:dyDescent="0.25">
      <c r="U37" t="s">
        <v>112</v>
      </c>
      <c r="V37" t="s">
        <v>47</v>
      </c>
      <c r="W37" t="s">
        <v>42</v>
      </c>
      <c r="Y37" s="4"/>
      <c r="AC37" t="s">
        <v>33</v>
      </c>
      <c r="AD37">
        <v>35.813000000000002</v>
      </c>
      <c r="AE37">
        <v>5</v>
      </c>
      <c r="AF37" t="s">
        <v>117</v>
      </c>
      <c r="AG37" t="s">
        <v>33</v>
      </c>
      <c r="AH37">
        <v>35.813000000000002</v>
      </c>
      <c r="AI37">
        <v>5</v>
      </c>
      <c r="AJ37">
        <v>5</v>
      </c>
    </row>
    <row r="38" spans="10:64" x14ac:dyDescent="0.25">
      <c r="J38" t="s">
        <v>35</v>
      </c>
      <c r="K38" t="s">
        <v>25</v>
      </c>
      <c r="L38">
        <v>29.812999999999999</v>
      </c>
      <c r="M38">
        <v>7</v>
      </c>
      <c r="U38" s="4" t="s">
        <v>33</v>
      </c>
      <c r="V38" s="4">
        <v>35.813000000000002</v>
      </c>
      <c r="W38" s="4">
        <v>5</v>
      </c>
      <c r="X38" s="4"/>
      <c r="BD38" t="s">
        <v>100</v>
      </c>
      <c r="BF38" t="s">
        <v>123</v>
      </c>
      <c r="BG38" t="s">
        <v>124</v>
      </c>
      <c r="BI38" t="s">
        <v>125</v>
      </c>
      <c r="BJ38" t="s">
        <v>126</v>
      </c>
      <c r="BK38" t="s">
        <v>120</v>
      </c>
      <c r="BL38" t="s">
        <v>48</v>
      </c>
    </row>
    <row r="39" spans="10:64" x14ac:dyDescent="0.25">
      <c r="J39" t="s">
        <v>35</v>
      </c>
      <c r="K39" t="s">
        <v>26</v>
      </c>
      <c r="L39">
        <v>77.125</v>
      </c>
      <c r="M39">
        <v>7</v>
      </c>
      <c r="AC39" t="s">
        <v>91</v>
      </c>
      <c r="AD39" t="s">
        <v>92</v>
      </c>
      <c r="BE39" s="34" t="s">
        <v>121</v>
      </c>
      <c r="BF39" s="34"/>
      <c r="BG39" s="34"/>
      <c r="BH39" s="34"/>
      <c r="BI39" s="34"/>
      <c r="BL39">
        <v>187.5</v>
      </c>
    </row>
    <row r="40" spans="10:64" x14ac:dyDescent="0.25">
      <c r="J40" t="s">
        <v>35</v>
      </c>
      <c r="K40" t="s">
        <v>27</v>
      </c>
      <c r="L40">
        <v>29.812999999999999</v>
      </c>
      <c r="M40">
        <v>7</v>
      </c>
      <c r="U40" s="4" t="s">
        <v>12</v>
      </c>
      <c r="V40" s="4" t="s">
        <v>86</v>
      </c>
      <c r="W40" s="4"/>
      <c r="X40" s="4"/>
      <c r="Y40" s="4"/>
      <c r="AC40" t="s">
        <v>112</v>
      </c>
      <c r="AD40" t="s">
        <v>47</v>
      </c>
      <c r="AE40" t="s">
        <v>42</v>
      </c>
      <c r="AG40" t="s">
        <v>112</v>
      </c>
      <c r="AH40" t="s">
        <v>47</v>
      </c>
      <c r="AI40" t="s">
        <v>42</v>
      </c>
      <c r="BD40" t="s">
        <v>11</v>
      </c>
      <c r="BE40" s="32" t="s">
        <v>119</v>
      </c>
      <c r="BF40" s="10" t="s">
        <v>29</v>
      </c>
      <c r="BG40">
        <v>1</v>
      </c>
      <c r="BH40" t="s">
        <v>122</v>
      </c>
      <c r="BI40" t="s">
        <v>30</v>
      </c>
      <c r="BJ40" s="11">
        <v>2</v>
      </c>
      <c r="BK40">
        <v>35.813000000000002</v>
      </c>
      <c r="BL40">
        <v>151.68700000000001</v>
      </c>
    </row>
    <row r="41" spans="10:64" x14ac:dyDescent="0.25">
      <c r="J41" t="s">
        <v>35</v>
      </c>
      <c r="K41" t="s">
        <v>28</v>
      </c>
      <c r="L41">
        <v>77.125</v>
      </c>
      <c r="M41">
        <v>7</v>
      </c>
      <c r="U41" t="s">
        <v>112</v>
      </c>
      <c r="V41" t="s">
        <v>47</v>
      </c>
      <c r="W41" t="s">
        <v>42</v>
      </c>
      <c r="X41" s="4"/>
      <c r="Y41" s="4"/>
      <c r="AC41" t="s">
        <v>35</v>
      </c>
      <c r="AD41">
        <v>77.125</v>
      </c>
      <c r="AE41">
        <v>7</v>
      </c>
      <c r="AF41" t="s">
        <v>117</v>
      </c>
      <c r="AG41" t="s">
        <v>35</v>
      </c>
      <c r="AH41">
        <v>77.125</v>
      </c>
      <c r="AI41">
        <v>7</v>
      </c>
      <c r="AJ41">
        <v>7</v>
      </c>
      <c r="AV41">
        <v>187.5</v>
      </c>
      <c r="BD41" s="7" t="s">
        <v>80</v>
      </c>
      <c r="BE41" s="32" t="s">
        <v>119</v>
      </c>
      <c r="BF41" s="10" t="s">
        <v>29</v>
      </c>
      <c r="BG41">
        <v>1</v>
      </c>
      <c r="BH41" t="s">
        <v>122</v>
      </c>
      <c r="BI41" t="s">
        <v>30</v>
      </c>
      <c r="BJ41" s="11">
        <v>2</v>
      </c>
      <c r="BK41">
        <v>35.813000000000002</v>
      </c>
      <c r="BL41">
        <v>115.87400000000001</v>
      </c>
    </row>
    <row r="42" spans="10:64" x14ac:dyDescent="0.25">
      <c r="U42" s="4" t="s">
        <v>35</v>
      </c>
      <c r="V42" s="4">
        <v>77.125</v>
      </c>
      <c r="W42" s="4">
        <v>7</v>
      </c>
      <c r="AV42">
        <v>150.68700000000001</v>
      </c>
      <c r="BD42" t="s">
        <v>11</v>
      </c>
      <c r="BE42" s="32" t="s">
        <v>119</v>
      </c>
      <c r="BF42" s="10" t="s">
        <v>31</v>
      </c>
      <c r="BG42">
        <v>3</v>
      </c>
      <c r="BH42" t="s">
        <v>122</v>
      </c>
      <c r="BI42" t="s">
        <v>32</v>
      </c>
      <c r="BJ42" s="11">
        <v>4</v>
      </c>
      <c r="BK42">
        <v>35.813000000000002</v>
      </c>
      <c r="BL42">
        <v>80.061000000000007</v>
      </c>
    </row>
    <row r="43" spans="10:64" x14ac:dyDescent="0.25">
      <c r="AV43">
        <v>113.87400000000001</v>
      </c>
      <c r="BD43" t="s">
        <v>80</v>
      </c>
      <c r="BE43" s="32" t="s">
        <v>119</v>
      </c>
      <c r="BF43" s="10" t="s">
        <v>31</v>
      </c>
      <c r="BG43">
        <v>3</v>
      </c>
      <c r="BH43" t="s">
        <v>122</v>
      </c>
      <c r="BI43" t="s">
        <v>32</v>
      </c>
      <c r="BJ43" s="11">
        <v>4</v>
      </c>
      <c r="BK43">
        <v>35.813000000000002</v>
      </c>
      <c r="BL43">
        <v>44.248000000000005</v>
      </c>
    </row>
    <row r="44" spans="10:64" x14ac:dyDescent="0.25">
      <c r="U44" s="4" t="s">
        <v>89</v>
      </c>
      <c r="V44" s="4" t="s">
        <v>90</v>
      </c>
      <c r="W44" s="4"/>
      <c r="X44" s="4"/>
      <c r="Y44" s="4"/>
      <c r="AV44">
        <v>77.061000000000007</v>
      </c>
      <c r="BD44" t="s">
        <v>11</v>
      </c>
      <c r="BE44" s="32" t="s">
        <v>119</v>
      </c>
      <c r="BF44" s="12" t="s">
        <v>34</v>
      </c>
      <c r="BG44" s="13">
        <v>6</v>
      </c>
      <c r="BH44" t="s">
        <v>122</v>
      </c>
      <c r="BI44" s="13" t="s">
        <v>35</v>
      </c>
      <c r="BJ44" s="13">
        <v>7</v>
      </c>
      <c r="BK44" s="13">
        <v>29.812999999999999</v>
      </c>
      <c r="BL44">
        <v>14.435000000000006</v>
      </c>
    </row>
    <row r="45" spans="10:64" x14ac:dyDescent="0.25">
      <c r="U45" t="s">
        <v>112</v>
      </c>
      <c r="V45" t="s">
        <v>47</v>
      </c>
      <c r="W45" t="s">
        <v>42</v>
      </c>
      <c r="X45" s="4"/>
      <c r="Y45" s="4"/>
      <c r="AV45">
        <v>40.248000000000005</v>
      </c>
    </row>
    <row r="46" spans="10:64" x14ac:dyDescent="0.25">
      <c r="U46" s="4" t="s">
        <v>35</v>
      </c>
      <c r="V46" s="4">
        <v>77.125</v>
      </c>
      <c r="W46" s="4">
        <v>7</v>
      </c>
      <c r="AV46">
        <v>9.4350000000000058</v>
      </c>
    </row>
    <row r="49" spans="56:64" x14ac:dyDescent="0.25">
      <c r="BD49" t="s">
        <v>100</v>
      </c>
      <c r="BF49" t="s">
        <v>123</v>
      </c>
      <c r="BG49" t="s">
        <v>124</v>
      </c>
      <c r="BI49" t="s">
        <v>125</v>
      </c>
      <c r="BJ49" t="s">
        <v>126</v>
      </c>
      <c r="BK49" t="s">
        <v>120</v>
      </c>
      <c r="BL49" t="s">
        <v>48</v>
      </c>
    </row>
    <row r="50" spans="56:64" x14ac:dyDescent="0.25">
      <c r="BE50" s="34" t="s">
        <v>127</v>
      </c>
      <c r="BF50" s="34"/>
      <c r="BG50" s="34"/>
      <c r="BH50" s="34"/>
      <c r="BI50" s="34"/>
      <c r="BL50">
        <v>187.5</v>
      </c>
    </row>
    <row r="51" spans="56:64" x14ac:dyDescent="0.25">
      <c r="BD51" t="s">
        <v>13</v>
      </c>
      <c r="BE51" s="32" t="s">
        <v>119</v>
      </c>
      <c r="BF51" t="s">
        <v>29</v>
      </c>
      <c r="BG51">
        <v>1</v>
      </c>
      <c r="BH51" t="s">
        <v>122</v>
      </c>
      <c r="BI51" t="s">
        <v>30</v>
      </c>
      <c r="BJ51">
        <v>2</v>
      </c>
      <c r="BK51">
        <v>77.125</v>
      </c>
      <c r="BL51">
        <v>109.375</v>
      </c>
    </row>
    <row r="52" spans="56:64" x14ac:dyDescent="0.25">
      <c r="BD52" t="s">
        <v>13</v>
      </c>
      <c r="BE52" s="32" t="s">
        <v>119</v>
      </c>
      <c r="BF52" t="s">
        <v>31</v>
      </c>
      <c r="BG52">
        <v>3</v>
      </c>
      <c r="BH52" t="s">
        <v>122</v>
      </c>
      <c r="BI52" t="s">
        <v>32</v>
      </c>
      <c r="BJ52">
        <v>4</v>
      </c>
      <c r="BK52">
        <v>77.125</v>
      </c>
      <c r="BL52">
        <v>31.25</v>
      </c>
    </row>
  </sheetData>
  <mergeCells count="2">
    <mergeCell ref="BE39:BI39"/>
    <mergeCell ref="BE50:BI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085-2C17-4475-8032-F148818E64E5}">
  <dimension ref="B4:L50"/>
  <sheetViews>
    <sheetView workbookViewId="0">
      <selection activeCell="J47" sqref="J47:L50"/>
    </sheetView>
  </sheetViews>
  <sheetFormatPr defaultRowHeight="15" x14ac:dyDescent="0.25"/>
  <cols>
    <col min="2" max="2" width="11.42578125" bestFit="1" customWidth="1"/>
    <col min="3" max="3" width="14.140625" bestFit="1" customWidth="1"/>
    <col min="4" max="4" width="14.5703125" bestFit="1" customWidth="1"/>
    <col min="6" max="6" width="9.140625" customWidth="1"/>
    <col min="9" max="10" width="11.42578125" bestFit="1" customWidth="1"/>
    <col min="11" max="11" width="22.85546875" bestFit="1" customWidth="1"/>
  </cols>
  <sheetData>
    <row r="4" spans="2:6" x14ac:dyDescent="0.25">
      <c r="C4" t="s">
        <v>3</v>
      </c>
      <c r="D4" t="s">
        <v>9</v>
      </c>
      <c r="E4" t="s">
        <v>8</v>
      </c>
      <c r="F4" t="s">
        <v>6</v>
      </c>
    </row>
    <row r="5" spans="2:6" x14ac:dyDescent="0.25">
      <c r="B5" t="s">
        <v>29</v>
      </c>
      <c r="D5" s="1">
        <v>71.5</v>
      </c>
      <c r="E5" s="1">
        <v>79.5</v>
      </c>
      <c r="F5">
        <f t="shared" ref="F5:F11" si="0">D5/2</f>
        <v>35.75</v>
      </c>
    </row>
    <row r="6" spans="2:6" x14ac:dyDescent="0.25">
      <c r="B6" t="s">
        <v>30</v>
      </c>
      <c r="D6" s="1">
        <v>71.5</v>
      </c>
      <c r="E6" s="1">
        <v>79.5</v>
      </c>
      <c r="F6">
        <f t="shared" si="0"/>
        <v>35.75</v>
      </c>
    </row>
    <row r="7" spans="2:6" x14ac:dyDescent="0.25">
      <c r="B7" t="s">
        <v>31</v>
      </c>
      <c r="D7" s="1">
        <v>71.5</v>
      </c>
      <c r="E7" s="1">
        <v>79.5</v>
      </c>
      <c r="F7">
        <f t="shared" si="0"/>
        <v>35.75</v>
      </c>
    </row>
    <row r="8" spans="2:6" x14ac:dyDescent="0.25">
      <c r="B8" t="s">
        <v>32</v>
      </c>
      <c r="D8" s="1">
        <v>71.5</v>
      </c>
      <c r="E8" s="1">
        <v>79.5</v>
      </c>
      <c r="F8">
        <f t="shared" si="0"/>
        <v>35.75</v>
      </c>
    </row>
    <row r="9" spans="2:6" x14ac:dyDescent="0.25">
      <c r="B9" t="s">
        <v>33</v>
      </c>
      <c r="D9" s="1">
        <v>71.5</v>
      </c>
      <c r="E9" s="1">
        <v>79.5</v>
      </c>
      <c r="F9">
        <f t="shared" si="0"/>
        <v>35.75</v>
      </c>
    </row>
    <row r="10" spans="2:6" x14ac:dyDescent="0.25">
      <c r="B10" t="s">
        <v>34</v>
      </c>
      <c r="D10" s="1">
        <v>59.5</v>
      </c>
      <c r="E10" s="1">
        <v>79.5</v>
      </c>
      <c r="F10">
        <f t="shared" si="0"/>
        <v>29.75</v>
      </c>
    </row>
    <row r="11" spans="2:6" x14ac:dyDescent="0.25">
      <c r="B11" t="s">
        <v>35</v>
      </c>
      <c r="D11" s="1">
        <v>59.5</v>
      </c>
      <c r="E11" s="1">
        <v>79.5</v>
      </c>
      <c r="F11">
        <f t="shared" si="0"/>
        <v>29.75</v>
      </c>
    </row>
    <row r="16" spans="2:6" x14ac:dyDescent="0.25">
      <c r="C16" t="s">
        <v>73</v>
      </c>
      <c r="D16" t="s">
        <v>74</v>
      </c>
    </row>
    <row r="17" spans="2:12" x14ac:dyDescent="0.25">
      <c r="B17" t="s">
        <v>29</v>
      </c>
      <c r="C17" s="1">
        <v>79.5</v>
      </c>
      <c r="D17">
        <v>35.75</v>
      </c>
      <c r="J17" t="s">
        <v>29</v>
      </c>
      <c r="K17" t="s">
        <v>75</v>
      </c>
      <c r="L17">
        <v>35.75</v>
      </c>
    </row>
    <row r="18" spans="2:12" x14ac:dyDescent="0.25">
      <c r="B18" t="s">
        <v>30</v>
      </c>
      <c r="C18" s="1">
        <v>79.5</v>
      </c>
      <c r="D18">
        <v>35.75</v>
      </c>
      <c r="J18" t="s">
        <v>29</v>
      </c>
      <c r="K18" t="s">
        <v>76</v>
      </c>
      <c r="L18">
        <v>79.5</v>
      </c>
    </row>
    <row r="19" spans="2:12" x14ac:dyDescent="0.25">
      <c r="B19" t="s">
        <v>31</v>
      </c>
      <c r="C19" s="1">
        <v>79.5</v>
      </c>
      <c r="D19">
        <v>35.75</v>
      </c>
      <c r="J19" t="s">
        <v>29</v>
      </c>
      <c r="K19" t="s">
        <v>77</v>
      </c>
      <c r="L19">
        <v>35.75</v>
      </c>
    </row>
    <row r="20" spans="2:12" x14ac:dyDescent="0.25">
      <c r="B20" t="s">
        <v>32</v>
      </c>
      <c r="C20" s="1">
        <v>79.5</v>
      </c>
      <c r="D20">
        <v>35.75</v>
      </c>
      <c r="J20" t="s">
        <v>29</v>
      </c>
      <c r="K20" t="s">
        <v>78</v>
      </c>
      <c r="L20">
        <v>79.5</v>
      </c>
    </row>
    <row r="21" spans="2:12" x14ac:dyDescent="0.25">
      <c r="B21" t="s">
        <v>33</v>
      </c>
      <c r="C21" s="1">
        <v>79.5</v>
      </c>
      <c r="D21">
        <v>35.75</v>
      </c>
    </row>
    <row r="22" spans="2:12" x14ac:dyDescent="0.25">
      <c r="B22" t="s">
        <v>34</v>
      </c>
      <c r="C22" s="1">
        <v>79.5</v>
      </c>
      <c r="D22">
        <v>29.75</v>
      </c>
      <c r="J22" t="s">
        <v>30</v>
      </c>
      <c r="K22" t="s">
        <v>75</v>
      </c>
      <c r="L22">
        <v>35.75</v>
      </c>
    </row>
    <row r="23" spans="2:12" x14ac:dyDescent="0.25">
      <c r="B23" t="s">
        <v>35</v>
      </c>
      <c r="C23" s="1">
        <v>79.5</v>
      </c>
      <c r="D23">
        <v>29.75</v>
      </c>
      <c r="J23" t="s">
        <v>30</v>
      </c>
      <c r="K23" t="s">
        <v>76</v>
      </c>
      <c r="L23">
        <v>79.5</v>
      </c>
    </row>
    <row r="24" spans="2:12" x14ac:dyDescent="0.25">
      <c r="J24" t="s">
        <v>30</v>
      </c>
      <c r="K24" t="s">
        <v>77</v>
      </c>
      <c r="L24">
        <v>35.75</v>
      </c>
    </row>
    <row r="25" spans="2:12" x14ac:dyDescent="0.25">
      <c r="J25" t="s">
        <v>30</v>
      </c>
      <c r="K25" t="s">
        <v>78</v>
      </c>
      <c r="L25">
        <v>79.5</v>
      </c>
    </row>
    <row r="27" spans="2:12" x14ac:dyDescent="0.25">
      <c r="J27" t="s">
        <v>31</v>
      </c>
      <c r="K27" t="s">
        <v>75</v>
      </c>
      <c r="L27">
        <v>35.75</v>
      </c>
    </row>
    <row r="28" spans="2:12" x14ac:dyDescent="0.25">
      <c r="J28" t="s">
        <v>31</v>
      </c>
      <c r="K28" t="s">
        <v>76</v>
      </c>
      <c r="L28">
        <v>79.5</v>
      </c>
    </row>
    <row r="29" spans="2:12" x14ac:dyDescent="0.25">
      <c r="J29" t="s">
        <v>31</v>
      </c>
      <c r="K29" t="s">
        <v>77</v>
      </c>
      <c r="L29">
        <v>35.75</v>
      </c>
    </row>
    <row r="30" spans="2:12" x14ac:dyDescent="0.25">
      <c r="J30" t="s">
        <v>31</v>
      </c>
      <c r="K30" t="s">
        <v>78</v>
      </c>
      <c r="L30">
        <v>79.5</v>
      </c>
    </row>
    <row r="32" spans="2:12" x14ac:dyDescent="0.25">
      <c r="J32" t="s">
        <v>32</v>
      </c>
      <c r="K32" t="s">
        <v>75</v>
      </c>
      <c r="L32">
        <v>35.75</v>
      </c>
    </row>
    <row r="33" spans="10:12" x14ac:dyDescent="0.25">
      <c r="J33" t="s">
        <v>32</v>
      </c>
      <c r="K33" t="s">
        <v>76</v>
      </c>
      <c r="L33">
        <v>79.5</v>
      </c>
    </row>
    <row r="34" spans="10:12" x14ac:dyDescent="0.25">
      <c r="J34" t="s">
        <v>32</v>
      </c>
      <c r="K34" t="s">
        <v>77</v>
      </c>
      <c r="L34">
        <v>35.75</v>
      </c>
    </row>
    <row r="35" spans="10:12" x14ac:dyDescent="0.25">
      <c r="J35" t="s">
        <v>32</v>
      </c>
      <c r="K35" t="s">
        <v>78</v>
      </c>
      <c r="L35">
        <v>79.5</v>
      </c>
    </row>
    <row r="37" spans="10:12" x14ac:dyDescent="0.25">
      <c r="J37" t="s">
        <v>33</v>
      </c>
      <c r="K37" t="s">
        <v>75</v>
      </c>
      <c r="L37">
        <v>35.75</v>
      </c>
    </row>
    <row r="38" spans="10:12" x14ac:dyDescent="0.25">
      <c r="J38" t="s">
        <v>33</v>
      </c>
      <c r="K38" t="s">
        <v>76</v>
      </c>
      <c r="L38">
        <v>79.5</v>
      </c>
    </row>
    <row r="39" spans="10:12" x14ac:dyDescent="0.25">
      <c r="J39" t="s">
        <v>33</v>
      </c>
      <c r="K39" t="s">
        <v>77</v>
      </c>
      <c r="L39">
        <v>35.75</v>
      </c>
    </row>
    <row r="40" spans="10:12" x14ac:dyDescent="0.25">
      <c r="J40" t="s">
        <v>33</v>
      </c>
      <c r="K40" t="s">
        <v>78</v>
      </c>
      <c r="L40">
        <v>79.5</v>
      </c>
    </row>
    <row r="42" spans="10:12" x14ac:dyDescent="0.25">
      <c r="J42" t="s">
        <v>34</v>
      </c>
      <c r="K42" t="s">
        <v>75</v>
      </c>
      <c r="L42">
        <v>29.75</v>
      </c>
    </row>
    <row r="43" spans="10:12" x14ac:dyDescent="0.25">
      <c r="J43" t="s">
        <v>34</v>
      </c>
      <c r="K43" t="s">
        <v>76</v>
      </c>
      <c r="L43">
        <v>79.5</v>
      </c>
    </row>
    <row r="44" spans="10:12" x14ac:dyDescent="0.25">
      <c r="J44" t="s">
        <v>34</v>
      </c>
      <c r="K44" t="s">
        <v>77</v>
      </c>
      <c r="L44">
        <v>29.75</v>
      </c>
    </row>
    <row r="45" spans="10:12" x14ac:dyDescent="0.25">
      <c r="J45" t="s">
        <v>34</v>
      </c>
      <c r="K45" t="s">
        <v>78</v>
      </c>
      <c r="L45">
        <v>79.5</v>
      </c>
    </row>
    <row r="47" spans="10:12" x14ac:dyDescent="0.25">
      <c r="J47" t="s">
        <v>35</v>
      </c>
      <c r="K47" t="s">
        <v>75</v>
      </c>
      <c r="L47">
        <v>29.75</v>
      </c>
    </row>
    <row r="48" spans="10:12" x14ac:dyDescent="0.25">
      <c r="J48" t="s">
        <v>35</v>
      </c>
      <c r="K48" t="s">
        <v>76</v>
      </c>
      <c r="L48">
        <v>79.5</v>
      </c>
    </row>
    <row r="49" spans="10:12" x14ac:dyDescent="0.25">
      <c r="J49" t="s">
        <v>35</v>
      </c>
      <c r="K49" t="s">
        <v>77</v>
      </c>
      <c r="L49">
        <v>29.75</v>
      </c>
    </row>
    <row r="50" spans="10:12" x14ac:dyDescent="0.25">
      <c r="J50" t="s">
        <v>35</v>
      </c>
      <c r="K50" t="s">
        <v>78</v>
      </c>
      <c r="L50">
        <v>79.5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E2EF-AF58-425B-8556-DE39FDCA30EA}">
  <dimension ref="G8:T35"/>
  <sheetViews>
    <sheetView zoomScale="90" zoomScaleNormal="90" workbookViewId="0">
      <selection activeCell="G8" sqref="G8:N35"/>
    </sheetView>
  </sheetViews>
  <sheetFormatPr defaultRowHeight="15" x14ac:dyDescent="0.25"/>
  <cols>
    <col min="11" max="11" width="11.42578125" bestFit="1" customWidth="1"/>
    <col min="13" max="13" width="9.7109375" bestFit="1" customWidth="1"/>
  </cols>
  <sheetData>
    <row r="8" spans="7:18" x14ac:dyDescent="0.25">
      <c r="G8" t="s">
        <v>100</v>
      </c>
      <c r="I8" t="s">
        <v>123</v>
      </c>
      <c r="J8" t="s">
        <v>129</v>
      </c>
      <c r="K8" t="s">
        <v>125</v>
      </c>
      <c r="L8" t="s">
        <v>126</v>
      </c>
      <c r="M8" t="s">
        <v>120</v>
      </c>
      <c r="N8" t="s">
        <v>128</v>
      </c>
    </row>
    <row r="9" spans="7:18" x14ac:dyDescent="0.25">
      <c r="H9" t="s">
        <v>95</v>
      </c>
      <c r="I9" t="s">
        <v>96</v>
      </c>
      <c r="J9" t="s">
        <v>97</v>
      </c>
      <c r="N9">
        <v>187.5</v>
      </c>
    </row>
    <row r="10" spans="7:18" x14ac:dyDescent="0.25">
      <c r="G10" t="s">
        <v>11</v>
      </c>
      <c r="H10" t="s">
        <v>39</v>
      </c>
      <c r="I10" t="s">
        <v>29</v>
      </c>
      <c r="J10">
        <v>1</v>
      </c>
      <c r="K10" t="s">
        <v>30</v>
      </c>
      <c r="L10">
        <v>2</v>
      </c>
      <c r="M10">
        <v>35.813000000000002</v>
      </c>
      <c r="N10">
        <v>150.68700000000001</v>
      </c>
      <c r="R10">
        <v>35.813000000000002</v>
      </c>
    </row>
    <row r="11" spans="7:18" x14ac:dyDescent="0.25">
      <c r="G11" t="s">
        <v>80</v>
      </c>
      <c r="H11" t="s">
        <v>39</v>
      </c>
      <c r="I11" t="s">
        <v>29</v>
      </c>
      <c r="J11">
        <v>1</v>
      </c>
      <c r="K11" t="s">
        <v>30</v>
      </c>
      <c r="L11">
        <v>2</v>
      </c>
      <c r="M11">
        <v>35.813000000000002</v>
      </c>
      <c r="N11">
        <v>113.87400000000001</v>
      </c>
      <c r="R11">
        <v>35.813000000000002</v>
      </c>
    </row>
    <row r="12" spans="7:18" x14ac:dyDescent="0.25">
      <c r="G12" t="s">
        <v>11</v>
      </c>
      <c r="H12" t="s">
        <v>39</v>
      </c>
      <c r="I12" t="s">
        <v>31</v>
      </c>
      <c r="J12">
        <v>3</v>
      </c>
      <c r="K12" t="s">
        <v>32</v>
      </c>
      <c r="L12">
        <v>4</v>
      </c>
      <c r="M12">
        <v>35.813000000000002</v>
      </c>
      <c r="N12">
        <v>77.061000000000007</v>
      </c>
      <c r="R12">
        <v>35.813000000000002</v>
      </c>
    </row>
    <row r="13" spans="7:18" x14ac:dyDescent="0.25">
      <c r="G13" t="s">
        <v>80</v>
      </c>
      <c r="H13" t="s">
        <v>39</v>
      </c>
      <c r="I13" t="s">
        <v>31</v>
      </c>
      <c r="J13">
        <v>3</v>
      </c>
      <c r="K13" t="s">
        <v>32</v>
      </c>
      <c r="L13">
        <v>4</v>
      </c>
      <c r="M13">
        <v>35.813000000000002</v>
      </c>
      <c r="N13">
        <v>40.248000000000005</v>
      </c>
      <c r="R13">
        <v>35.813000000000002</v>
      </c>
    </row>
    <row r="14" spans="7:18" x14ac:dyDescent="0.25">
      <c r="G14" t="s">
        <v>11</v>
      </c>
      <c r="H14" t="s">
        <v>39</v>
      </c>
      <c r="I14" t="s">
        <v>34</v>
      </c>
      <c r="J14">
        <v>6</v>
      </c>
      <c r="K14" t="s">
        <v>35</v>
      </c>
      <c r="L14">
        <v>7</v>
      </c>
      <c r="M14">
        <v>29.812999999999999</v>
      </c>
      <c r="N14">
        <v>9.4350000000000058</v>
      </c>
      <c r="R14">
        <v>29.812999999999999</v>
      </c>
    </row>
    <row r="16" spans="7:18" x14ac:dyDescent="0.25">
      <c r="H16" t="s">
        <v>95</v>
      </c>
      <c r="I16" t="s">
        <v>104</v>
      </c>
      <c r="J16" t="s">
        <v>105</v>
      </c>
      <c r="N16">
        <v>187.5</v>
      </c>
    </row>
    <row r="17" spans="7:20" x14ac:dyDescent="0.25">
      <c r="G17" t="s">
        <v>13</v>
      </c>
      <c r="H17" t="s">
        <v>39</v>
      </c>
      <c r="I17" t="s">
        <v>29</v>
      </c>
      <c r="J17">
        <v>1</v>
      </c>
      <c r="K17" t="s">
        <v>30</v>
      </c>
      <c r="L17">
        <v>2</v>
      </c>
      <c r="M17">
        <v>77.125</v>
      </c>
      <c r="N17">
        <v>109.375</v>
      </c>
      <c r="R17">
        <v>77.125</v>
      </c>
    </row>
    <row r="18" spans="7:20" x14ac:dyDescent="0.25">
      <c r="G18" t="s">
        <v>13</v>
      </c>
      <c r="H18" t="s">
        <v>39</v>
      </c>
      <c r="I18" t="s">
        <v>31</v>
      </c>
      <c r="J18">
        <v>3</v>
      </c>
      <c r="K18" t="s">
        <v>32</v>
      </c>
      <c r="L18">
        <v>4</v>
      </c>
      <c r="M18">
        <v>77.125</v>
      </c>
      <c r="N18">
        <v>31.25</v>
      </c>
      <c r="R18">
        <v>77.125</v>
      </c>
    </row>
    <row r="20" spans="7:20" x14ac:dyDescent="0.25">
      <c r="H20" t="s">
        <v>95</v>
      </c>
      <c r="I20" t="s">
        <v>106</v>
      </c>
      <c r="J20" t="s">
        <v>107</v>
      </c>
      <c r="N20">
        <v>187.5</v>
      </c>
    </row>
    <row r="21" spans="7:20" x14ac:dyDescent="0.25">
      <c r="G21" t="s">
        <v>83</v>
      </c>
      <c r="H21" t="s">
        <v>39</v>
      </c>
      <c r="I21" t="s">
        <v>29</v>
      </c>
      <c r="J21">
        <v>1</v>
      </c>
      <c r="K21" t="s">
        <v>30</v>
      </c>
      <c r="L21">
        <v>2</v>
      </c>
      <c r="M21">
        <v>77.125</v>
      </c>
      <c r="N21">
        <v>109.375</v>
      </c>
      <c r="R21">
        <v>77.125</v>
      </c>
      <c r="T21" t="s">
        <v>108</v>
      </c>
    </row>
    <row r="22" spans="7:20" x14ac:dyDescent="0.25">
      <c r="G22" t="s">
        <v>83</v>
      </c>
      <c r="H22" t="s">
        <v>39</v>
      </c>
      <c r="I22" t="s">
        <v>31</v>
      </c>
      <c r="J22">
        <v>3</v>
      </c>
      <c r="K22" t="s">
        <v>32</v>
      </c>
      <c r="L22">
        <v>4</v>
      </c>
      <c r="M22">
        <v>77.125</v>
      </c>
      <c r="N22">
        <v>31.25</v>
      </c>
      <c r="R22">
        <v>77.125</v>
      </c>
      <c r="T22" t="s">
        <v>109</v>
      </c>
    </row>
    <row r="24" spans="7:20" x14ac:dyDescent="0.25">
      <c r="H24" t="s">
        <v>95</v>
      </c>
      <c r="I24" t="s">
        <v>96</v>
      </c>
      <c r="J24" t="s">
        <v>97</v>
      </c>
      <c r="N24">
        <v>187.5</v>
      </c>
    </row>
    <row r="25" spans="7:20" x14ac:dyDescent="0.25">
      <c r="G25" t="s">
        <v>80</v>
      </c>
      <c r="H25" t="s">
        <v>39</v>
      </c>
      <c r="I25" t="s">
        <v>34</v>
      </c>
      <c r="J25">
        <v>6</v>
      </c>
      <c r="K25" t="s">
        <v>35</v>
      </c>
      <c r="L25">
        <v>7</v>
      </c>
      <c r="M25">
        <v>29.812999999999999</v>
      </c>
      <c r="N25">
        <v>156.68700000000001</v>
      </c>
      <c r="R25">
        <v>29.812999999999999</v>
      </c>
    </row>
    <row r="26" spans="7:20" x14ac:dyDescent="0.25">
      <c r="G26" t="s">
        <v>93</v>
      </c>
      <c r="H26" t="s">
        <v>39</v>
      </c>
      <c r="I26" t="s">
        <v>33</v>
      </c>
      <c r="J26">
        <v>5</v>
      </c>
      <c r="K26" t="s">
        <v>33</v>
      </c>
      <c r="L26">
        <v>5</v>
      </c>
      <c r="M26">
        <v>35.813000000000002</v>
      </c>
      <c r="N26">
        <v>119.87400000000001</v>
      </c>
      <c r="R26">
        <v>35.813000000000002</v>
      </c>
    </row>
    <row r="28" spans="7:20" x14ac:dyDescent="0.25">
      <c r="H28" t="s">
        <v>95</v>
      </c>
      <c r="I28" t="s">
        <v>104</v>
      </c>
      <c r="J28" t="s">
        <v>105</v>
      </c>
      <c r="N28">
        <v>187.5</v>
      </c>
    </row>
    <row r="29" spans="7:20" x14ac:dyDescent="0.25">
      <c r="G29" t="s">
        <v>13</v>
      </c>
      <c r="H29" t="s">
        <v>39</v>
      </c>
      <c r="I29" t="s">
        <v>33</v>
      </c>
      <c r="J29">
        <v>5</v>
      </c>
      <c r="K29" t="s">
        <v>34</v>
      </c>
      <c r="L29">
        <v>6</v>
      </c>
      <c r="M29">
        <v>77.125</v>
      </c>
      <c r="N29">
        <v>109.375</v>
      </c>
      <c r="R29">
        <v>77.125</v>
      </c>
    </row>
    <row r="31" spans="7:20" x14ac:dyDescent="0.25">
      <c r="H31" t="s">
        <v>95</v>
      </c>
      <c r="I31" t="s">
        <v>106</v>
      </c>
      <c r="J31" t="s">
        <v>107</v>
      </c>
      <c r="N31">
        <v>187.5</v>
      </c>
    </row>
    <row r="32" spans="7:20" x14ac:dyDescent="0.25">
      <c r="G32" t="s">
        <v>83</v>
      </c>
      <c r="H32" t="s">
        <v>39</v>
      </c>
      <c r="I32" t="s">
        <v>33</v>
      </c>
      <c r="J32">
        <v>5</v>
      </c>
      <c r="K32" t="s">
        <v>34</v>
      </c>
      <c r="L32">
        <v>6</v>
      </c>
      <c r="M32">
        <v>77.125</v>
      </c>
      <c r="N32">
        <v>109.375</v>
      </c>
      <c r="R32">
        <v>77.125</v>
      </c>
    </row>
    <row r="34" spans="7:18" x14ac:dyDescent="0.25">
      <c r="H34" t="s">
        <v>95</v>
      </c>
      <c r="I34" t="s">
        <v>111</v>
      </c>
      <c r="J34" t="s">
        <v>110</v>
      </c>
      <c r="N34">
        <v>187.5</v>
      </c>
    </row>
    <row r="35" spans="7:18" x14ac:dyDescent="0.25">
      <c r="G35" t="s">
        <v>91</v>
      </c>
      <c r="H35" t="s">
        <v>39</v>
      </c>
      <c r="I35" t="s">
        <v>35</v>
      </c>
      <c r="J35">
        <v>7</v>
      </c>
      <c r="K35" t="s">
        <v>35</v>
      </c>
      <c r="L35">
        <v>7</v>
      </c>
      <c r="M35">
        <v>77.125</v>
      </c>
      <c r="N35">
        <v>109.375</v>
      </c>
      <c r="R35">
        <v>77.125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43EE-528B-4198-BF89-4905183507E0}">
  <dimension ref="E8:E10"/>
  <sheetViews>
    <sheetView workbookViewId="0">
      <selection activeCell="E8" sqref="E8:E10"/>
    </sheetView>
  </sheetViews>
  <sheetFormatPr defaultRowHeight="15" x14ac:dyDescent="0.25"/>
  <sheetData>
    <row r="8" spans="5:5" x14ac:dyDescent="0.25">
      <c r="E8" t="s">
        <v>130</v>
      </c>
    </row>
    <row r="9" spans="5:5" x14ac:dyDescent="0.25">
      <c r="E9" t="s">
        <v>32</v>
      </c>
    </row>
    <row r="10" spans="5:5" x14ac:dyDescent="0.25"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try2</vt:lpstr>
      <vt:lpstr>try3</vt:lpstr>
      <vt:lpstr>try4</vt:lpstr>
      <vt:lpstr>Sheet11</vt:lpstr>
      <vt:lpstr>Sheet9</vt:lpstr>
      <vt:lpstr>try5</vt:lpstr>
      <vt:lpstr>Sheet5</vt:lpstr>
      <vt:lpstr>Sheet8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2026-01-08T18:05:19Z</dcterms:created>
  <dcterms:modified xsi:type="dcterms:W3CDTF">2026-03-21T13:41:57Z</dcterms:modified>
</cp:coreProperties>
</file>